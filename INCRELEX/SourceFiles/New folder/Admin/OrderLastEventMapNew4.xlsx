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Reports\Admin\"/>
    </mc:Choice>
  </mc:AlternateContent>
  <xr:revisionPtr revIDLastSave="0" documentId="8_{EE38FA80-A321-4439-AD35-67CA103D145F}" xr6:coauthVersionLast="47" xr6:coauthVersionMax="47" xr10:uidLastSave="{00000000-0000-0000-0000-000000000000}"/>
  <bookViews>
    <workbookView xWindow="28680" yWindow="-45" windowWidth="29040" windowHeight="15720" activeTab="1" xr2:uid="{00000000-000D-0000-FFFF-FFFF00000000}"/>
  </bookViews>
  <sheets>
    <sheet name="Sheet1" sheetId="2" r:id="rId1"/>
    <sheet name="Order Last Event Mapping" sheetId="1" r:id="rId2"/>
    <sheet name="Sheet2" sheetId="3" r:id="rId3"/>
  </sheets>
  <definedNames>
    <definedName name="_xlnm._FilterDatabase" localSheetId="1" hidden="1">'Order Last Event Mapping'!$A$1:$K$297</definedName>
    <definedName name="_xlnm._FilterDatabase" localSheetId="2" hidden="1">Sheet2!$A$1:$C$320</definedName>
  </definedNames>
  <calcPr calcId="191029"/>
  <pivotCaches>
    <pivotCache cacheId="9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2" i="3"/>
</calcChain>
</file>

<file path=xl/sharedStrings.xml><?xml version="1.0" encoding="utf-8"?>
<sst xmlns="http://schemas.openxmlformats.org/spreadsheetml/2006/main" count="2171" uniqueCount="618">
  <si>
    <t>Order Last Event</t>
  </si>
  <si>
    <t>Queue</t>
  </si>
  <si>
    <t>Order Last Event Status</t>
  </si>
  <si>
    <t>Dashboard Status</t>
  </si>
  <si>
    <t>Status Type</t>
  </si>
  <si>
    <t>REIntake: BV In Process</t>
  </si>
  <si>
    <t>3.   Order Entry / Completion</t>
  </si>
  <si>
    <t>Active</t>
  </si>
  <si>
    <t>Pharmacist Review</t>
  </si>
  <si>
    <t>Pending</t>
  </si>
  <si>
    <t>A.   Patients to Contact - New Rx's</t>
  </si>
  <si>
    <t>Intake: BV In Process</t>
  </si>
  <si>
    <t>Intake: BV Needed</t>
  </si>
  <si>
    <t>No Last Event Assigned</t>
  </si>
  <si>
    <t>Intake: BV in Process</t>
  </si>
  <si>
    <t>6.   Benefits Verification - New Rx's</t>
  </si>
  <si>
    <t>Intake: Missing Information from Prescriber</t>
  </si>
  <si>
    <t>Intake: Missing Insurance Info</t>
  </si>
  <si>
    <t>Intake: Pending Documents/Info from HUB</t>
  </si>
  <si>
    <t>Intake: Pending Ins Coverage</t>
  </si>
  <si>
    <t>Intake: Unreachable Letter Sent</t>
  </si>
  <si>
    <t>Intake: Unreachable letter sent</t>
  </si>
  <si>
    <t>Intake: Waiting for VA approval</t>
  </si>
  <si>
    <t>B.   Patients to Contact - Refills</t>
  </si>
  <si>
    <t>Patient will call back</t>
  </si>
  <si>
    <t>See Progress Note</t>
  </si>
  <si>
    <t>1st Scheduling Attempt</t>
  </si>
  <si>
    <t>2nd Scheduling Attempt</t>
  </si>
  <si>
    <t>3rd Scheduling Attempt</t>
  </si>
  <si>
    <t>4th Scheduling Attempt</t>
  </si>
  <si>
    <t>9.   Patients to Contact - Refills</t>
  </si>
  <si>
    <t>1st Fax Attempt</t>
  </si>
  <si>
    <t>2nd Fax Attempt</t>
  </si>
  <si>
    <t>Called and left Voicemail</t>
  </si>
  <si>
    <t>4.   Rx Setup</t>
  </si>
  <si>
    <t>Rx Clarification Needed</t>
  </si>
  <si>
    <t>Clarification Needed</t>
  </si>
  <si>
    <t>Has another Rx as well</t>
  </si>
  <si>
    <t>I.   Rx Expiration / Zero Refills</t>
  </si>
  <si>
    <t>Called and left message with MDO rep</t>
  </si>
  <si>
    <t>5.   Claims to Adjudicate - New Rx's</t>
  </si>
  <si>
    <t>Rx Verification</t>
  </si>
  <si>
    <t>7.   Rx Verification</t>
  </si>
  <si>
    <t>C.   Claims to Adjudicate - Refills</t>
  </si>
  <si>
    <t>Shipment Scheduled</t>
  </si>
  <si>
    <t>E.   Print Labels / Documentation</t>
  </si>
  <si>
    <t>F.   Select Lots / Fill Rx</t>
  </si>
  <si>
    <t>Ready to Fill</t>
  </si>
  <si>
    <t>Intake: New Insurance</t>
  </si>
  <si>
    <t>Intake: Alt Funding/Foundation in Process</t>
  </si>
  <si>
    <t>1st eRx Attempt</t>
  </si>
  <si>
    <t>Hold Patient in Hospital</t>
  </si>
  <si>
    <t>Inconvenient Time for Call</t>
  </si>
  <si>
    <t>New RX received</t>
  </si>
  <si>
    <t>REIntake: BV Needed</t>
  </si>
  <si>
    <t>Call to schedule</t>
  </si>
  <si>
    <t>6th Scheduling Attempt</t>
  </si>
  <si>
    <t>2nd eRx Attempt</t>
  </si>
  <si>
    <t>New Rx Needed</t>
  </si>
  <si>
    <t>Intake: Contracting</t>
  </si>
  <si>
    <t>Intake: New INS</t>
  </si>
  <si>
    <t>Intake: Pending Phys add</t>
  </si>
  <si>
    <t>Intake: Pending Override</t>
  </si>
  <si>
    <t>Intake: Appeal Add'l Info needed from HCP</t>
  </si>
  <si>
    <t>SF Assistance: Appeal Add'l Info need from HCP</t>
  </si>
  <si>
    <t>Intake: Appeal Pending HCP Initial Submission</t>
  </si>
  <si>
    <t>SF Assistance: Appeal Pending HCP Initial Submission</t>
  </si>
  <si>
    <t>Intake: Appeal Pending Insurance Decision</t>
  </si>
  <si>
    <t>Intake: Appeal Required</t>
  </si>
  <si>
    <t>Intake: Benefits Discussion</t>
  </si>
  <si>
    <t>Intake: Indexing Complete</t>
  </si>
  <si>
    <t>Intake: Initiate PAP</t>
  </si>
  <si>
    <t>SF Assistance: Missing Information from Prescriber</t>
  </si>
  <si>
    <t>Intake: On Hold Per Patient - Financial</t>
  </si>
  <si>
    <t>Intake: On Hold Per Patient - MD Consult</t>
  </si>
  <si>
    <t>Intake: On Hold Per Patient - Other</t>
  </si>
  <si>
    <t>Intake: On Hold Per Prescriber - Lab</t>
  </si>
  <si>
    <t>Intake: On Hold Per Prescriber - Other</t>
  </si>
  <si>
    <t>Intake: On Hold Per Prescriber - Surgery</t>
  </si>
  <si>
    <t>Intake: PA Add'l Info needed from HCP</t>
  </si>
  <si>
    <t>SF Assistance: PA Add'l Info needed from HCP</t>
  </si>
  <si>
    <t>Intake: PA Pending HCP Initial Submission</t>
  </si>
  <si>
    <t>SF Assistance: PA Pending HCP Initial Submission</t>
  </si>
  <si>
    <t>Intake: PA Pending Insurance Decision</t>
  </si>
  <si>
    <t>Intake: PA Required</t>
  </si>
  <si>
    <t>Intake: PAP Discussion</t>
  </si>
  <si>
    <t>Intake: Pending PAP Documents</t>
  </si>
  <si>
    <t>Intake: Pending Phys- PA Decision</t>
  </si>
  <si>
    <t>SF Assistance: Pending Phys- PA Decision</t>
  </si>
  <si>
    <t>Intake: Pending Phys-Appeal Decision</t>
  </si>
  <si>
    <t>SF Assistance: Pending Phys-Appeal Decision</t>
  </si>
  <si>
    <t>Intake: Pending Phys- Alt Therapy Decision</t>
  </si>
  <si>
    <t>SF Assistance: Pending Phys- Alt Therapy Decision</t>
  </si>
  <si>
    <t>ReIntake: Alt Funding/Foundation in Process</t>
  </si>
  <si>
    <t>Reintake: Appeal Add'l Info needed from HCP</t>
  </si>
  <si>
    <t>Reintake: Appeal Pending HCP Initial Submission</t>
  </si>
  <si>
    <t>Reintake: Appeal Pending Insurance Decision</t>
  </si>
  <si>
    <t>Reintake: Appeal Required</t>
  </si>
  <si>
    <t>Reintake: Benefits Discussion</t>
  </si>
  <si>
    <t>ReIntake: Contracting</t>
  </si>
  <si>
    <t>ReIntake: Indexing Complete</t>
  </si>
  <si>
    <t>ReIntake: Missing Information from Prescriber</t>
  </si>
  <si>
    <t>Reintake: Missing Insurance Info</t>
  </si>
  <si>
    <t>ReIntake: New INS</t>
  </si>
  <si>
    <t>REIntake: On Hold Per Patient - Financial</t>
  </si>
  <si>
    <t>REIntake: On Hold Per Patient - MD Consult</t>
  </si>
  <si>
    <t>REIntake: On Hold Per Patient - Other</t>
  </si>
  <si>
    <t>REIntake: On Hold Per Prescriber - Lab</t>
  </si>
  <si>
    <t>REIntake: On Hold Per Prescriber - Surgery</t>
  </si>
  <si>
    <t>Reintake: PA Add'l Info needed from HCP</t>
  </si>
  <si>
    <t>Reintake: PA Pending HCP Initial Submission</t>
  </si>
  <si>
    <t>Reintake: PA Pending Insurance Decision</t>
  </si>
  <si>
    <t>Reintake: PA Required</t>
  </si>
  <si>
    <t>Reintake: PAP Discussion</t>
  </si>
  <si>
    <t>ReIntake: Pending Ins Coverage</t>
  </si>
  <si>
    <t>REIntake: Pending Phys Add</t>
  </si>
  <si>
    <t>Reintake: Pending Phys- Alt Therapy Decision</t>
  </si>
  <si>
    <t>Reintake: Pending Phys- PA Decision</t>
  </si>
  <si>
    <t>ReIntake: Unreachable Letter Sent</t>
  </si>
  <si>
    <t>ReIntake: Waiting for VA approval</t>
  </si>
  <si>
    <t>Reintake: Initiate PAP</t>
  </si>
  <si>
    <t>Discontinue Rx</t>
  </si>
  <si>
    <t>Maintenance Dose Rx</t>
  </si>
  <si>
    <t>Pharmacist Review - Dose Change</t>
  </si>
  <si>
    <t>5th Scheduling Attempt</t>
  </si>
  <si>
    <t>Drug on Hand- Side Effects</t>
  </si>
  <si>
    <t>On Hold - Pending Labs/Testing</t>
  </si>
  <si>
    <t>On Hold - Pending Surgery</t>
  </si>
  <si>
    <t>SF Assistance: Clarification Needed</t>
  </si>
  <si>
    <t>MD/patient notified- Attempt 1</t>
  </si>
  <si>
    <t>MD/patient notified- Attempt 2</t>
  </si>
  <si>
    <t>Intake: Patient Assistance in Process</t>
  </si>
  <si>
    <t>Intake: Contact Pt for Benefits Discussion</t>
  </si>
  <si>
    <t>Pending Payer Contract</t>
  </si>
  <si>
    <t>Intake: New Insurance Received</t>
  </si>
  <si>
    <t>N/A</t>
  </si>
  <si>
    <t>Intake: Pending Payer Override</t>
  </si>
  <si>
    <t>ReIntake: Patient Assistance in Process</t>
  </si>
  <si>
    <t>Reintake: Contact Pt for Benefits Discussion</t>
  </si>
  <si>
    <t>ReIntake: BV In Process</t>
  </si>
  <si>
    <t>ReIntake: New Insurance Received</t>
  </si>
  <si>
    <t>Reintake: Pending Phys-Appeal Decision</t>
  </si>
  <si>
    <t>ReIntake: Unreachable letter sent</t>
  </si>
  <si>
    <t>Reintake: Pending Override</t>
  </si>
  <si>
    <t>Patients to Contact - Scheduling Shipment</t>
  </si>
  <si>
    <t>Patients to Contact - Scheduling Shipment: 1st Attempt</t>
  </si>
  <si>
    <t>Patients to Contact - Scheduling Shipment: 2nd Attempt</t>
  </si>
  <si>
    <t>Patients to Contact - Scheduling Shipment: 3rd Attempt</t>
  </si>
  <si>
    <t>Patients to Contact - Scheduling Shipment: 4th Attempt</t>
  </si>
  <si>
    <t>Patients to Contact - Scheduling Shipment: 5th Attempt</t>
  </si>
  <si>
    <t>Patients to Contact - Scheduling Shipment: 6th Attempt</t>
  </si>
  <si>
    <t>Drug on Hand - Dose Decrease</t>
  </si>
  <si>
    <t>Drug on Hand - Dose Increase</t>
  </si>
  <si>
    <t>Drug on Hand  - Slow Titration</t>
  </si>
  <si>
    <t>Drug on Hand - Tapering Off Drug</t>
  </si>
  <si>
    <t>Drug on Hold- Patient Hospitalized</t>
  </si>
  <si>
    <t>Patients to Contact -  Sched Ship Pt Req Call Back</t>
  </si>
  <si>
    <t>On Hold - Pending Labs/ Testing</t>
  </si>
  <si>
    <t xml:space="preserve">Patients to Contact - Scheduling Shipment w/ MDO </t>
  </si>
  <si>
    <t>Patients to Contact - Scheduling Shipment: Unreachable letter sent</t>
  </si>
  <si>
    <t>New Rx Needed - 1st eRx Attempt</t>
  </si>
  <si>
    <t>New Rx Needed - 1st Fax Attempt</t>
  </si>
  <si>
    <t>New Rx Needed - 2nd Fax Attempt</t>
  </si>
  <si>
    <t>New Rx Needed- Call to MD/ Patient- attempt 1</t>
  </si>
  <si>
    <t>New Rx Needed- Call to MD/ Patient- attempt 2</t>
  </si>
  <si>
    <t>New Rx Received</t>
  </si>
  <si>
    <t>Anovo DB (Order Last Event Status)</t>
  </si>
  <si>
    <t>Intake-Pending Override</t>
  </si>
  <si>
    <t>Called MDO for Rx clarification</t>
  </si>
  <si>
    <t>Rx Setup</t>
  </si>
  <si>
    <t>Patients to Contact - Scheduling Shipment w/ MDO</t>
  </si>
  <si>
    <t xml:space="preserve">Utilize when patient is trying to obtain additional funding </t>
  </si>
  <si>
    <t>All</t>
  </si>
  <si>
    <t>Utilize if Insurance requests additional info from HCP for Appeal completion</t>
  </si>
  <si>
    <t>X</t>
  </si>
  <si>
    <t>Utilize if HCP has not submitted Appeal to insurance and SF Assistance is needed</t>
  </si>
  <si>
    <t>Utilize if Appeal has been submitted to Insurance &amp; waiting on decision</t>
  </si>
  <si>
    <t>Utilize when it is determined that a Appeal is required, but the Appeal has not been started</t>
  </si>
  <si>
    <t>Attempting to complete Benefits Discussion</t>
  </si>
  <si>
    <t>Utilize when BV is being completed</t>
  </si>
  <si>
    <t>Utilize when it is identified that BV is needed but has not started yet</t>
  </si>
  <si>
    <t>Utilize when contracting request is submitted</t>
  </si>
  <si>
    <t>Utilize when referral data has been entered into the system and ready for BV</t>
  </si>
  <si>
    <t>Utilize if PAP screening and assessment are needed</t>
  </si>
  <si>
    <t>Utilize when information is needed from prescriber that cannot be obtained from the patient including referral is not clearly legible</t>
  </si>
  <si>
    <t>Utilize when information is needed from prescriber that cannot be obtained from the patient including referral is not clearly legible and SF Assistance is needed</t>
  </si>
  <si>
    <t>Utilize when any insurance info is missing</t>
  </si>
  <si>
    <t>Utilize when new insurance information is received after the BV/PA/Appeal process has started</t>
  </si>
  <si>
    <t>Utilize if patient requests hold for financial reasons</t>
  </si>
  <si>
    <t>Utilize if patient requests hold for MD appt, second opinion, lab tests, etc.</t>
  </si>
  <si>
    <t>Utilize if patients requests hold for any other reason</t>
  </si>
  <si>
    <t>Utilize if HCP requests hold for lab tests</t>
  </si>
  <si>
    <t>Utilize if HCP requests hold for other reason</t>
  </si>
  <si>
    <t xml:space="preserve">Utilize if HCP requests hold for surgery  </t>
  </si>
  <si>
    <t>Utilize if Insurance requests additional info from HCP for PA completion</t>
  </si>
  <si>
    <t>Utilize if Insurance requests additional info from HCP for PA completion &amp; SF Assistance is needed</t>
  </si>
  <si>
    <t>Utilize if HCP has not submitted PA to insurance</t>
  </si>
  <si>
    <t>Utilize if HCP has not submitted PA to insurance &amp; SF Assistance is needed</t>
  </si>
  <si>
    <t>Utilize if PA has been submitted to Insurance &amp; waiting on decision</t>
  </si>
  <si>
    <t>Utilize when it is determined that a PA is required, but the PA has not been started</t>
  </si>
  <si>
    <t>Utilize when notifying patient of PAP approval</t>
  </si>
  <si>
    <t>Utilize for Firdapse or Fintepla when complete documentation not received from Hub OR when Fintepla prescription received before the referral is triaged.</t>
  </si>
  <si>
    <t>Fintepla, Firdapse</t>
  </si>
  <si>
    <t>Utilize when patient insurance is effective on a specific future date</t>
  </si>
  <si>
    <t>Utilize when waiting on override for cost, LDD, etc.,  from payer</t>
  </si>
  <si>
    <t>Utilize when PAP documents have been sent to patient</t>
  </si>
  <si>
    <t>Utilize when HCP has to be added to system</t>
  </si>
  <si>
    <t>Utilize when waiting for HCP to decide if he will submit PA</t>
  </si>
  <si>
    <t>Utilize when waiting for HCP to decide if he will submit PA &amp; SF Assistance is needed</t>
  </si>
  <si>
    <t>x (possibly)</t>
  </si>
  <si>
    <t>Utilize when waiting for HCP to decide if he will submit Appeal</t>
  </si>
  <si>
    <t>Utilize when waiting for HCP to decide if he will submit Appeal &amp; SF Assistance is Needed</t>
  </si>
  <si>
    <t>Utilize when waiting for HCP to determine if he will change therapies</t>
  </si>
  <si>
    <t>Utilize when waiting for HCP to determine if he will change therapies and SF assistance is needed</t>
  </si>
  <si>
    <t>Utlize when Unreachable letter is mailed</t>
  </si>
  <si>
    <t>Last event date &gt; 2 weeks - Pending Closed</t>
  </si>
  <si>
    <t>Utilize when waiting on payment or PO from VA</t>
  </si>
  <si>
    <t>default when new patient order not completed prior to report</t>
  </si>
  <si>
    <t>recreate for SF Assistance</t>
  </si>
  <si>
    <t>Utilize if HCP has not submitted Appeal to insurance</t>
  </si>
  <si>
    <t>Utilize when BV is being completed during re-verification of benefits</t>
  </si>
  <si>
    <t>Utilize when it is identified that BV is needed but has not started yet during re-verification of benefits</t>
  </si>
  <si>
    <t>Utilize if patient requests hold for financial reasons during re-verification of benefits</t>
  </si>
  <si>
    <t>Utilize if patient requests hold for MD appt, second opinion, lab tests, etc. during re-verification of benefits</t>
  </si>
  <si>
    <t>Utilize if patients requests hold for any other reason during re-verification of benefits</t>
  </si>
  <si>
    <t>Utilize if HCP requests hold for lab tests during re-verification of benefits</t>
  </si>
  <si>
    <t>Utilize if HCP requests hold for surgery during re-verification of benefits</t>
  </si>
  <si>
    <t>Utilize if pending PAP application during re-verification of benefits</t>
  </si>
  <si>
    <t>Utilize when HCP has to be added to system during re-verification of benefits</t>
  </si>
  <si>
    <t>Utilize if pending override during re-verification of benefits</t>
  </si>
  <si>
    <t>Utilize if clarification needed, called MDO and left message with representative</t>
  </si>
  <si>
    <t>Utilize if clarification needed, called MDO and left voicemail</t>
  </si>
  <si>
    <t>Utilize if clarification needed, office is closed</t>
  </si>
  <si>
    <t>Utilize if pharmacist needs to discontinue Rx due to annotation scanned back in</t>
  </si>
  <si>
    <t>Utilize if patient has Rx set to ship (same dose); hold in queue 4 until other Rx ships</t>
  </si>
  <si>
    <t>use last event from other open order</t>
  </si>
  <si>
    <t>Utilize if patient has a titration Rx that needs to be set up; waiting on fill date to set up maintenance dose Rx</t>
  </si>
  <si>
    <t>Utilize if clarification received with new Rx</t>
  </si>
  <si>
    <t>Utilize if pharmacist needs to review Rx before pushing from queue 4 or if CPhT is unsure of Rx</t>
  </si>
  <si>
    <t>Utilize if pharmacist needs to review dose change and call patient to obtain information</t>
  </si>
  <si>
    <t>Utilize if clarification has been obtained and Rx is ready to be set up</t>
  </si>
  <si>
    <t>if patient has a previous shipment, use Refill if no previous shipment use new</t>
  </si>
  <si>
    <t>Utiize if clarification has been obtained and Rx is ready to be set up</t>
  </si>
  <si>
    <t>if patient has no previous shipments, use Patients to Contact - New Rx</t>
  </si>
  <si>
    <t>Utilize if clarification is needed for all other situations as defined in chart note</t>
  </si>
  <si>
    <t>Utilized when a pharmacist needs verification and has called the MDO to obtain what is needed</t>
  </si>
  <si>
    <t>Utilize if 1st scheduling attempt has been made for new patient</t>
  </si>
  <si>
    <t>Utilize if 2nd scheduling attempt has been made for new patient</t>
  </si>
  <si>
    <t>Utilize if 3rd scheduling attempt has been made for new patient</t>
  </si>
  <si>
    <t>Utilize if 4th scheduling attempt has been made for new patient ( WHEN MOVING ORDER FROM QUEUE A TO B, THE STATUS SHOULD CONTINUE TO PATIENT TO CONTACT: SCHEDULING SHIPMENT:5TH ATTEMPT IF 4TH ATTEMPT IS UNSUCESSFUL)</t>
  </si>
  <si>
    <t>Utilize if selected in Therigy precall, ex: patient is driving, at MD, etc., pharmacy will call back</t>
  </si>
  <si>
    <t xml:space="preserve">Utilize if patient will call back to schedule. Staff will follow up in a week if the patient has not called back
</t>
  </si>
  <si>
    <t>Utlize if new patient needs to be called on current business day</t>
  </si>
  <si>
    <t>Utilize for all other situations (define in chart note)</t>
  </si>
  <si>
    <t>Utilize if 1st erx attempt is made to obtain new prescription while in queue B</t>
  </si>
  <si>
    <t>Utilize if 1st fax attempt is made to obtain new prescription while in queue B</t>
  </si>
  <si>
    <t>Utilize if 1st scheduling attempt has been made for refill</t>
  </si>
  <si>
    <t>Utilize if 2nd erx attempt is made to obtain new prescription while in queue B</t>
  </si>
  <si>
    <t>Utilize if 2nd fax attempt is made to obtain new prescription while in queue B</t>
  </si>
  <si>
    <t>Utilize if 2nd scheduling attempt has been made for refill</t>
  </si>
  <si>
    <t>Utilize if 3rd Scheduling attempt has been made for refill</t>
  </si>
  <si>
    <t>Utilize if 4th scheduling attempt has been made for refill</t>
  </si>
  <si>
    <t>Utilize if 5th scheduling attempt has been made for refill</t>
  </si>
  <si>
    <t>Utilize if 6th scheduling attempt has been made for refill</t>
  </si>
  <si>
    <t>Utilize if pharmacist wants outreach made to specific patient - probably do not call patients</t>
  </si>
  <si>
    <t>Utilize if patient has doh due to dose decrease</t>
  </si>
  <si>
    <t>Utilize for any other reason to hold therapy MD or Patient</t>
  </si>
  <si>
    <t>Utilize if patient is slow to titrate and has drug on hand</t>
  </si>
  <si>
    <t>Fintepla, Firdapse, Isturisa</t>
  </si>
  <si>
    <t>Utilize if patient is tapering off medication</t>
  </si>
  <si>
    <t xml:space="preserve">Fintepla </t>
  </si>
  <si>
    <t xml:space="preserve">Utilize if patient has DOH due to experiencing side effects </t>
  </si>
  <si>
    <t>Utilize if patient is not scheduling shipment due to hospitalization</t>
  </si>
  <si>
    <t>Utilize if Therapy Pending for labs/ testing</t>
  </si>
  <si>
    <t>Utilize if Therapy pending for surgery</t>
  </si>
  <si>
    <t xml:space="preserve">x </t>
  </si>
  <si>
    <t>Utilize if unable to obtain clarification through standard cadence &amp; assistance is needed from manuf sales force</t>
  </si>
  <si>
    <t>Utilize when patient is ready to schedule but need confirmation from MD on when they can accept shipment</t>
  </si>
  <si>
    <t>LAR</t>
  </si>
  <si>
    <t>Utilize when unreachable letter sent to patient</t>
  </si>
  <si>
    <t>Utilize if 1st fax attempt is sent for new prescription and patient has shipment scheduled</t>
  </si>
  <si>
    <t xml:space="preserve">Utilize if patient has shipment scheduled and another Rx </t>
  </si>
  <si>
    <t>Utilize for 1st attempt to obtain eRx Day 1</t>
  </si>
  <si>
    <t>do we want attempts on external?</t>
  </si>
  <si>
    <t>Utilize for 1st fax attempt to obtain new Rx Day 1</t>
  </si>
  <si>
    <t>Utilize for 2nd fax attempt to obtain new Rx Day 4</t>
  </si>
  <si>
    <t>Utilize if left VM with MD while trying to obtain new Rx</t>
  </si>
  <si>
    <t>Utilize Day 7 if attempt is made to contact MD and patient for new Rx</t>
  </si>
  <si>
    <t>Utilize when New prescription received in SP but not reviewed yet by pharmacist</t>
  </si>
  <si>
    <t>Utilize if pharmacist needs to dc previous prescription</t>
  </si>
  <si>
    <t>pull status from the other Rx</t>
  </si>
  <si>
    <t>Row Labels</t>
  </si>
  <si>
    <t>Grand Total</t>
  </si>
  <si>
    <t>D.  Benefits Verification - Refills</t>
  </si>
  <si>
    <t>Duplicate Rx - Discontinue</t>
  </si>
  <si>
    <t>Waiting for Approval VA</t>
  </si>
  <si>
    <t>Waiting for Approval - Manufacturer</t>
  </si>
  <si>
    <t>Waiting for Approval</t>
  </si>
  <si>
    <t>On Hold- Medical Reason</t>
  </si>
  <si>
    <t>Drug on Hold- Medical Reason</t>
  </si>
  <si>
    <t>SF</t>
  </si>
  <si>
    <t>other</t>
  </si>
  <si>
    <t>Patient will call to schedule refill</t>
  </si>
  <si>
    <t>Patient has opted out of calls</t>
  </si>
  <si>
    <t>Pharmacy-Waiting for Approval - Manufacturer</t>
  </si>
  <si>
    <t>Pharmacy-Waiting for Approval VA</t>
  </si>
  <si>
    <t>roll exhaust</t>
  </si>
  <si>
    <t>Y</t>
  </si>
  <si>
    <t>Patient has opted out of calls- 120</t>
  </si>
  <si>
    <t>Patient has opted out of calls- 1</t>
  </si>
  <si>
    <t xml:space="preserve">Patient has opted out of calls-  2 </t>
  </si>
  <si>
    <t>REIntake: Pending PAP Documents</t>
  </si>
  <si>
    <t>Prescriber Denied New Rx</t>
  </si>
  <si>
    <t>Prescriber Denied New RX</t>
  </si>
  <si>
    <t>RX on Hold- Per Prescriber</t>
  </si>
  <si>
    <t>On Hold- Pending Labs/Testing</t>
  </si>
  <si>
    <t>Pharmacy: Unreachable letter sent</t>
  </si>
  <si>
    <t>On Hold- Pending Surgery</t>
  </si>
  <si>
    <t>On Hold- Per Prescriber</t>
  </si>
  <si>
    <t>SLAR- need MDO approval to ship</t>
  </si>
  <si>
    <t>Intake: Patient Notified of PAP Decision</t>
  </si>
  <si>
    <t>D.   Benefits Verification - Refills</t>
  </si>
  <si>
    <t>New Rx Needed - 2nd eRx Attempt</t>
  </si>
  <si>
    <t>Utilize for 2nd attempt to obtain eRx</t>
  </si>
  <si>
    <t>Patient has opted out of calls - 1</t>
  </si>
  <si>
    <t xml:space="preserve">Patient has opted out of calls - 2 </t>
  </si>
  <si>
    <t>Patient has opted out of calls - 120</t>
  </si>
  <si>
    <t xml:space="preserve">Active </t>
  </si>
  <si>
    <t>Drug on Hand - Drug on Hold</t>
  </si>
  <si>
    <t>Drug on Hand - Slow Titration</t>
  </si>
  <si>
    <t>Drug on Hand - Tapering Off</t>
  </si>
  <si>
    <t>Drug on Hand - Side Effects</t>
  </si>
  <si>
    <t>Drug on Hand - Other</t>
  </si>
  <si>
    <t>Drug on Hand - Lab/Testing</t>
  </si>
  <si>
    <t>Drug on Hand - Therapy on Hold</t>
  </si>
  <si>
    <t>Drug on Hand - Lab/ Testing</t>
  </si>
  <si>
    <t>Drug on Hand - Medical Reason</t>
  </si>
  <si>
    <t>Drug on Hand - Patient Non-Compliant</t>
  </si>
  <si>
    <t>pk</t>
  </si>
  <si>
    <t>poptext</t>
  </si>
  <si>
    <t>Add Prescriber to Order</t>
  </si>
  <si>
    <t>Alkindi Pharmacist review needed</t>
  </si>
  <si>
    <t>Annotation Needed</t>
  </si>
  <si>
    <t>Clarification needed</t>
  </si>
  <si>
    <t>Cont Pharm CC Declined</t>
  </si>
  <si>
    <t>Cont Pharm- Hold Until Patient Calls</t>
  </si>
  <si>
    <t>Cont Pharm- PAP Pending</t>
  </si>
  <si>
    <t>Cont Pharm- Prior Auth Pending</t>
  </si>
  <si>
    <t>Cont Pharm- Refill Too Soon</t>
  </si>
  <si>
    <t>Duplicate Rx - D/C</t>
  </si>
  <si>
    <t>eRx Denied</t>
  </si>
  <si>
    <t>Fintepla REMS ADM Review</t>
  </si>
  <si>
    <t>HUB - Benefit Investigation</t>
  </si>
  <si>
    <t>HUB - PA Approved</t>
  </si>
  <si>
    <t>HUB - PA Pending- Insurance</t>
  </si>
  <si>
    <t>HUB - Pending Insurance Info</t>
  </si>
  <si>
    <t>HUB - Pending Prescriber Contact</t>
  </si>
  <si>
    <t>HUB - Request Cancelled</t>
  </si>
  <si>
    <t>HUB - Triage Complete</t>
  </si>
  <si>
    <t>HUB Rx- Review Complete</t>
  </si>
  <si>
    <t>HUB Rx- Review in Process</t>
  </si>
  <si>
    <t>HUB- New Rx Pending Triage</t>
  </si>
  <si>
    <t>HUB- PA Pending- Physician</t>
  </si>
  <si>
    <t>HUB- PA Pending- PT Appt.</t>
  </si>
  <si>
    <t>HUB- RX Review Needed</t>
  </si>
  <si>
    <t>Intake: Direct Rx - HUB Packet Needed</t>
  </si>
  <si>
    <t>Intake: Ins inactive</t>
  </si>
  <si>
    <t>Intake: Pending HUB Re-start</t>
  </si>
  <si>
    <t>Intake: Pending Phys REMS Cert</t>
  </si>
  <si>
    <t>LOA Approved</t>
  </si>
  <si>
    <t>LOA No Longer Needed</t>
  </si>
  <si>
    <t>LOA Renewal Created</t>
  </si>
  <si>
    <t>LOA Renewal Needed</t>
  </si>
  <si>
    <t>LOA Requested</t>
  </si>
  <si>
    <t>Maintenance Dose RX</t>
  </si>
  <si>
    <t>Need REMS AUTH #</t>
  </si>
  <si>
    <t>NY MCD-delay request</t>
  </si>
  <si>
    <t>PA Needed</t>
  </si>
  <si>
    <t>PA: Appeal Denied</t>
  </si>
  <si>
    <t>PA: Appeal Needed</t>
  </si>
  <si>
    <t>PA: Appeal No Longer Needed</t>
  </si>
  <si>
    <t>PA: Appeal Pending Insurance</t>
  </si>
  <si>
    <t>PA: Appeal Pending Physician</t>
  </si>
  <si>
    <t>PA: Approved</t>
  </si>
  <si>
    <t>PA: Denied</t>
  </si>
  <si>
    <t>PA: no longer needed</t>
  </si>
  <si>
    <t>PA: On hold</t>
  </si>
  <si>
    <t>PA: Override</t>
  </si>
  <si>
    <t>PA: Pending Insurance</t>
  </si>
  <si>
    <t>PA: Pending Physician</t>
  </si>
  <si>
    <t>PA: Pending PT Appt</t>
  </si>
  <si>
    <t>PA: Renewal Created</t>
  </si>
  <si>
    <t>PA: Renewal Needed</t>
  </si>
  <si>
    <t>Patient has opted out of calls - 2</t>
  </si>
  <si>
    <t>Patient to be Discharged</t>
  </si>
  <si>
    <t>Pharmacy: Unreachable Letter Sent</t>
  </si>
  <si>
    <t>Pharmacy: Waiting for Approval - Manuf.</t>
  </si>
  <si>
    <t>Pharmacy: Waiting for Approval VA</t>
  </si>
  <si>
    <t>REIntake: Alt Funding/Foundation in Process</t>
  </si>
  <si>
    <t>REIntake: Appeal Add'l Info needed from HCP</t>
  </si>
  <si>
    <t>REIntake: Appeal Pending HCP Initial Submission</t>
  </si>
  <si>
    <t>REIntake: Appeal Pending Insurance Decision</t>
  </si>
  <si>
    <t>REIntake: Appeal Required</t>
  </si>
  <si>
    <t>REIntake: Benefits Discussion</t>
  </si>
  <si>
    <t>REIntake: Contracting</t>
  </si>
  <si>
    <t>REIntake: Initiate PAP</t>
  </si>
  <si>
    <t>REIntake: Missing Information from Prescriber</t>
  </si>
  <si>
    <t>REIntake: Missing Insurance Info</t>
  </si>
  <si>
    <t>REIntake: New INS</t>
  </si>
  <si>
    <t>REIntake: PA Add'l Info needed from HCP</t>
  </si>
  <si>
    <t>REIntake: PA Pending HCP Initial Submission</t>
  </si>
  <si>
    <t>REIntake: PA Pending Insurance Decision</t>
  </si>
  <si>
    <t>REIntake: PA Required</t>
  </si>
  <si>
    <t>REIntake: PAP Discussion</t>
  </si>
  <si>
    <t>REIntake: Pending Documents/Info from HUB</t>
  </si>
  <si>
    <t>REIntake: Pending Ins Coverage</t>
  </si>
  <si>
    <t>REIntake: Pending Override</t>
  </si>
  <si>
    <t>REIntake: Pending Phys add</t>
  </si>
  <si>
    <t>REIntake: Pending Phys REMS Cert</t>
  </si>
  <si>
    <t>REIntake: Pending Phys- Alt Therapy Decision</t>
  </si>
  <si>
    <t>REIntake: Pending Phys- Appeal Decision</t>
  </si>
  <si>
    <t>REIntake: Pending Phys- PA Decision</t>
  </si>
  <si>
    <t>REIntake: Unreachable Letter Sent</t>
  </si>
  <si>
    <t>REIntake: Waiting for VA Approval</t>
  </si>
  <si>
    <t>Therapy Not Started</t>
  </si>
  <si>
    <t>Transfer to Site 4</t>
  </si>
  <si>
    <t>ZZZ1st Rx attempt</t>
  </si>
  <si>
    <t>ZZZ2nd Rx attempt</t>
  </si>
  <si>
    <t>ZZZ60 DAY-WAITING TO REQUEST</t>
  </si>
  <si>
    <t>ZZZ90 DAY-WAITING TO REQUEST</t>
  </si>
  <si>
    <t>ZZZAOB Approval</t>
  </si>
  <si>
    <t>ZZZAppeal process</t>
  </si>
  <si>
    <t>ZZZAwaiting approval to ship</t>
  </si>
  <si>
    <t>ZZZCALL PAYER</t>
  </si>
  <si>
    <t>ZZZCarrier Code Claim Submission Issue</t>
  </si>
  <si>
    <t>ZZZCheck Prism for insurance info</t>
  </si>
  <si>
    <t>ZZZCL Pending Nord</t>
  </si>
  <si>
    <t>ZZZCL Pending Override</t>
  </si>
  <si>
    <t>ZZZCL Pending Pt Contact</t>
  </si>
  <si>
    <t>ZZZCL Pt call bal</t>
  </si>
  <si>
    <t>ZZZCL- No Go</t>
  </si>
  <si>
    <t>ZZZCL: CC Denial</t>
  </si>
  <si>
    <t>ZZZCL: Complete</t>
  </si>
  <si>
    <t>ZZZCL: Pending Ins</t>
  </si>
  <si>
    <t>ZZZCleared to Ship</t>
  </si>
  <si>
    <t>ZZZContact Patient Need Prescription Card</t>
  </si>
  <si>
    <t>ZZZContact Patient to Setup a Shipment</t>
  </si>
  <si>
    <t>ZZZCost exceeds Maximum</t>
  </si>
  <si>
    <t>ZZZCustomer must call specialty number</t>
  </si>
  <si>
    <t>ZZZCYSTADANE SHORTAGE CONTACT</t>
  </si>
  <si>
    <t>ZZZDose Increase</t>
  </si>
  <si>
    <t>ZZZDrug On Hold</t>
  </si>
  <si>
    <t>ZZZDUR error- continue to work clearance</t>
  </si>
  <si>
    <t>ZZZEAP - Pending Committee Decision on Screening Echo</t>
  </si>
  <si>
    <t>ZZZeRx Denied</t>
  </si>
  <si>
    <t>ZZZExceeded Maximum Fills for the month</t>
  </si>
  <si>
    <t>ZZZFilled after coverage expired claim response</t>
  </si>
  <si>
    <t>ZZZFollow up with nurse</t>
  </si>
  <si>
    <t>ZZZForm Closed</t>
  </si>
  <si>
    <t>ZZZIndexing Complete</t>
  </si>
  <si>
    <t>ZZZInsurance Claim Processing Issue</t>
  </si>
  <si>
    <t>ZZZInsurance Entered</t>
  </si>
  <si>
    <t>ZZZInsurance information requested</t>
  </si>
  <si>
    <t>ZZZIntake: Accurate Rx Requested</t>
  </si>
  <si>
    <t>ZZZIntake: Appeal</t>
  </si>
  <si>
    <t>ZZZIntake: Complete</t>
  </si>
  <si>
    <t>ZZZIntake: Discontinued Therapy</t>
  </si>
  <si>
    <t>ZZZIntake: Enrollment</t>
  </si>
  <si>
    <t>ZZZIntake: INS needed</t>
  </si>
  <si>
    <t>ZZZIntake: Left a VM</t>
  </si>
  <si>
    <t>ZZZIntake: New PT Setup</t>
  </si>
  <si>
    <t>ZZZIntake: On Hold Per Patient</t>
  </si>
  <si>
    <t>ZZZIntake: On Hold Per Prescriber</t>
  </si>
  <si>
    <t>ZZZIntake: PA</t>
  </si>
  <si>
    <t>ZZZIntake: PAP Pending</t>
  </si>
  <si>
    <t>ZZZIntake: Pending Nord</t>
  </si>
  <si>
    <t>ZZZIntake: Pending Phys</t>
  </si>
  <si>
    <t>ZZZIntake: Profile</t>
  </si>
  <si>
    <t>ZZZIntake: PT Contact</t>
  </si>
  <si>
    <t>ZZZIntake:Manager Approval Needed</t>
  </si>
  <si>
    <t>ZZZInvalid Rx--do not use</t>
  </si>
  <si>
    <t>ZZZJen working</t>
  </si>
  <si>
    <t>ZZZLast Shipped December 2013</t>
  </si>
  <si>
    <t>ZZZLVM1</t>
  </si>
  <si>
    <t>ZZZLVM2</t>
  </si>
  <si>
    <t>ZZZM/I BIRTHDATE</t>
  </si>
  <si>
    <t>ZZZMember must call Curascript</t>
  </si>
  <si>
    <t>ZZZNDC not covered</t>
  </si>
  <si>
    <t>ZZZNeeds delivery set up</t>
  </si>
  <si>
    <t>ZZZNew RX in incoming faxes</t>
  </si>
  <si>
    <t>ZZZNo Longer Network-Update Order and Rx</t>
  </si>
  <si>
    <t>ZZZNO record found in PRISM</t>
  </si>
  <si>
    <t>ZZZNo Start: Patient Decision</t>
  </si>
  <si>
    <t>ZZZNon CardHolder Matched ID</t>
  </si>
  <si>
    <t>ZZZOn Hold Per Pat</t>
  </si>
  <si>
    <t>ZZZOn Hold- Per Nurse</t>
  </si>
  <si>
    <t>ZZZOrder Clarification</t>
  </si>
  <si>
    <t>ZZZPAP: Pending Nurse</t>
  </si>
  <si>
    <t>ZZZPAP: Renewal Entered</t>
  </si>
  <si>
    <t>ZZZPAP: Renewal not needed</t>
  </si>
  <si>
    <t>ZZZPAP:PENDING RX</t>
  </si>
  <si>
    <t>ZZZPatient Deceased</t>
  </si>
  <si>
    <t>ZZZPending Translation</t>
  </si>
  <si>
    <t>ZZZPharm not contracted</t>
  </si>
  <si>
    <t>ZZZPlan limits exceeded</t>
  </si>
  <si>
    <t>ZZZPrecleared</t>
  </si>
  <si>
    <t>ZZZProcess as Medicare Part B</t>
  </si>
  <si>
    <t>ZZZProcess Order</t>
  </si>
  <si>
    <t>ZZZProcessor Control Number Claim Response</t>
  </si>
  <si>
    <t>ZZZQ5 on hold per parent</t>
  </si>
  <si>
    <t>ZZZRE: Intake PT Contact</t>
  </si>
  <si>
    <t>ZZZRefax the Prism Order and Attach</t>
  </si>
  <si>
    <t>ZZZRefill Too Soon</t>
  </si>
  <si>
    <t>ZZZREIntake Complete</t>
  </si>
  <si>
    <t>ZZZREIntake INS Needed</t>
  </si>
  <si>
    <t>ZZZREIntake Left a VM</t>
  </si>
  <si>
    <t>ZZZREIntake-Accurate Rx Requested</t>
  </si>
  <si>
    <t>ZZZREIntake: Appeal</t>
  </si>
  <si>
    <t>ZZZREIntake: Ins inactive</t>
  </si>
  <si>
    <t>ZZZREIntake: Manager Approval Needed</t>
  </si>
  <si>
    <t>ZZZREIntake: On Hold Per Patient</t>
  </si>
  <si>
    <t>ZZZREIntake: PA</t>
  </si>
  <si>
    <t>ZZZREIntake: Pending PAP</t>
  </si>
  <si>
    <t>ZZZREIntake: Pending Phys</t>
  </si>
  <si>
    <t>ZZZREIntake: Profile</t>
  </si>
  <si>
    <t>ZZZREIntake: PT Contact</t>
  </si>
  <si>
    <t>ZZZRejected due to insurance</t>
  </si>
  <si>
    <t>ZZZREMOVE FROM Q</t>
  </si>
  <si>
    <t>ZZZRequested approval to ship</t>
  </si>
  <si>
    <t>ZZZRequested Prescription from MD office</t>
  </si>
  <si>
    <t>ZZZRX Clarification Push to 4</t>
  </si>
  <si>
    <t>ZZZRX CLARIFICATION RECEIVED</t>
  </si>
  <si>
    <t>ZZZRx Denied-Update the prescription</t>
  </si>
  <si>
    <t>ZZZSally and Susan Work on Insurance</t>
  </si>
  <si>
    <t>ZZZSALLY WORKING</t>
  </si>
  <si>
    <t>ZZZSee Brian</t>
  </si>
  <si>
    <t>ZZZShipped in Prism</t>
  </si>
  <si>
    <t>ZZZSoftware Certification ID needed</t>
  </si>
  <si>
    <t>ZZZSpecialty Drug not appropriate for this location</t>
  </si>
  <si>
    <t>ZZZSpoke with patient/caregiver about shortage</t>
  </si>
  <si>
    <t>ZZZSSN NEEDED FROM PRISM</t>
  </si>
  <si>
    <t>ZZZSSN NOT IN PRISM</t>
  </si>
  <si>
    <t>ZZZTitration schedule needed</t>
  </si>
  <si>
    <t>ZZZTNCare 5-fill exception</t>
  </si>
  <si>
    <t>ZZZTo be transferred</t>
  </si>
  <si>
    <t>ZZZUnreachable</t>
  </si>
  <si>
    <t>ZZZWS - Billed/Complete</t>
  </si>
  <si>
    <t>ZZZWS - Manager approval needed</t>
  </si>
  <si>
    <t>ZZZWS - Manager Approved</t>
  </si>
  <si>
    <t>ZZZWS - Order Cancelled</t>
  </si>
  <si>
    <t>ZZZWS - Pending 340B Verification</t>
  </si>
  <si>
    <t>ZZZWS - Pending Billing</t>
  </si>
  <si>
    <t>ZZZWS - Pending Customer Contact</t>
  </si>
  <si>
    <t>ZZZWS - Pending DT</t>
  </si>
  <si>
    <t>ZZZWS - Pending Inventory Transfer/Adjustment</t>
  </si>
  <si>
    <t>ZZZWS - Pending Invoicing</t>
  </si>
  <si>
    <t>ZZZWS - Pending License Verification</t>
  </si>
  <si>
    <t>ZZZWS - Pending Lot Discussion</t>
  </si>
  <si>
    <t>ZZZWS - Pending Peer Review</t>
  </si>
  <si>
    <t>ZZZWS - Pending Shipping</t>
  </si>
  <si>
    <t>ZZZWS - Replacement</t>
  </si>
  <si>
    <t>ZZZWS - Returned for Correction</t>
  </si>
  <si>
    <t xml:space="preserve">Intake: On Hold Per Prescriber - Surgery </t>
  </si>
  <si>
    <t>Drug on Hand -Medical Reason</t>
  </si>
  <si>
    <t>Drug on Hand -Other</t>
  </si>
  <si>
    <t>e-Rx Clarification Request Sent</t>
  </si>
  <si>
    <t xml:space="preserve">used when we send a request for clarification through the e-Rx itself </t>
  </si>
  <si>
    <t>Reintake: Patient Notified of PAP Decision</t>
  </si>
  <si>
    <t>Pharmacy: Waiting for Embassy Approval</t>
  </si>
  <si>
    <t>Pharmacy: Waiting for Foundation Approval</t>
  </si>
  <si>
    <t>Fintepla – pending ECHO</t>
  </si>
  <si>
    <t>Waiting for Embassy Approval</t>
  </si>
  <si>
    <t>Waiting for Foundation Approval</t>
  </si>
  <si>
    <t>Pending ECHO</t>
  </si>
  <si>
    <t>ReIntake: PA Pending MD Visit</t>
  </si>
  <si>
    <t>Utilize when a PA is needed but the MD requires that the patient be seen first.</t>
  </si>
  <si>
    <t xml:space="preserve">Delay Refill Request        </t>
  </si>
  <si>
    <t>On Hold Per Patient - MD Consult Needed</t>
  </si>
  <si>
    <t>Drug On Hand - Delayed Start</t>
  </si>
  <si>
    <t>Drug on Hand - Vacation Supply</t>
  </si>
  <si>
    <t>Pharmacy: On Hold-Mfg.Inventory Shortage</t>
  </si>
  <si>
    <t>On Hold-Mfg.Inventory Shortage</t>
  </si>
  <si>
    <t>Patient is on hold due to shortage of drug supply from the manufacturer</t>
  </si>
  <si>
    <t>REIntake: On Hold Per Prescriber - Other</t>
  </si>
  <si>
    <t>Utilize if HCP requests hold for something other than surgery or labs during re-verification of benefits</t>
  </si>
  <si>
    <t>Intake: On Hold- Mfg. Inventory Shortage</t>
  </si>
  <si>
    <t>ReIntake: On Hold- Mfg. Inventory Shortage</t>
  </si>
  <si>
    <t>1st MD call attempt</t>
  </si>
  <si>
    <t>New Rx Needed - 1st MD Call Attempt</t>
  </si>
  <si>
    <t>Utilize for 1st call attempt to obtain new Rx Day 1</t>
  </si>
  <si>
    <t>Delay Refill Request</t>
  </si>
  <si>
    <t>Drug on Hand – Missed Doses</t>
  </si>
  <si>
    <t>Drug On Hand – Interruption in Therapy</t>
  </si>
  <si>
    <t xml:space="preserve">On Hold- Waiting on Insur Coverage/Approval </t>
  </si>
  <si>
    <t>On Hold- Financial Issue</t>
  </si>
  <si>
    <t>On Hold- Waiting on Insur Coverage/Approval</t>
  </si>
  <si>
    <t>On Hold- Waiting on Insur Coverage/ Approval</t>
  </si>
  <si>
    <t>Intake: 2nd Level Appeal Add'l Info needed from HCP</t>
  </si>
  <si>
    <t>Intake: 2nd Level Appeal Pending HCP Initial Submission</t>
  </si>
  <si>
    <t>REIntake: 2nd Level Appeal Add'l Info needed from HCP</t>
  </si>
  <si>
    <t>REIntake: 2nd Level Appeal Pending HCP Initial Submission</t>
  </si>
  <si>
    <t>REIntake: 2nd Level Appeal Pending Insurance Decision</t>
  </si>
  <si>
    <t>REIntake: 2nd Level Appeal Required</t>
  </si>
  <si>
    <t>Intake: 2nd Level Appeal Required</t>
  </si>
  <si>
    <t>SF Assistance: 2nd Level Appeal Add'l Info need from HCP</t>
  </si>
  <si>
    <t>SF Assistance: 2nd Level Appeal Pending HCP Initial Submission</t>
  </si>
  <si>
    <t>SF Assistance: 2nd Level Pending Phys-Appeal Decision</t>
  </si>
  <si>
    <t>Intake: On Hold Per Prescriber - Lab/Testing</t>
  </si>
  <si>
    <t>Intake: 2nd Level Appeal Pending Insurance Decision</t>
  </si>
  <si>
    <t>Drug on Hand - Missed Doses</t>
  </si>
  <si>
    <t>Pending Close</t>
  </si>
  <si>
    <t>Drug on Hand - Interruption in Therapy</t>
  </si>
  <si>
    <t>On Hold - Medical Reason</t>
  </si>
  <si>
    <t>Intake: Pending Drug Formulary Review</t>
  </si>
  <si>
    <t>ReIntake: Pending Drug Formulary Review</t>
  </si>
  <si>
    <t>2nd MD call attempt</t>
  </si>
  <si>
    <t>New Rx Needed - 2nd MD Call Attempt</t>
  </si>
  <si>
    <r>
      <t xml:space="preserve">Utilize for 2nd call attempt to obtain new Rx Day </t>
    </r>
    <r>
      <rPr>
        <sz val="11"/>
        <color rgb="FFFF0000"/>
        <rFont val="Calibri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</si>
</sst>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1F497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4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3" xfId="0" applyFill="1" applyBorder="1"/>
    <xf numFmtId="0" fontId="4" fillId="0" borderId="0" xfId="0" applyFont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e Ares" refreshedDate="44580.563378356484" createdVersion="6" refreshedVersion="6" minRefreshableVersion="3" recordCount="193" xr:uid="{00000000-000A-0000-FFFF-FFFF07000000}">
  <cacheSource type="worksheet">
    <worksheetSource ref="A1:F140" sheet="Order Last Event Mapping"/>
  </cacheSource>
  <cacheFields count="6">
    <cacheField name="Order Last Event" numFmtId="0">
      <sharedItems/>
    </cacheField>
    <cacheField name="Queue" numFmtId="0">
      <sharedItems count="15">
        <s v="3.   Order Entry / Completion"/>
        <s v="A.   Patients to Contact - New Rx's"/>
        <s v="B.   Patients to Contact - Refills"/>
        <s v="Queue"/>
        <s v="4.   Rx Setup"/>
        <s v="5.   Claims to Adjudicate - New Rx's"/>
        <s v="6.   Benefits Verification - New Rx's"/>
        <s v="7.   Rx Verification"/>
        <s v="9.   Patients to Contact - Refills"/>
        <s v="C.   Claims to Adjudicate - Refills"/>
        <s v="D.  Benefits Verification - Refills"/>
        <s v="E.   Print Labels / Documentation"/>
        <s v="F.   Select Lots / Fill Rx"/>
        <s v="I.   Rx Expiration / Zero Refills"/>
        <s v="D. Benefits Verification - Refills" u="1"/>
      </sharedItems>
    </cacheField>
    <cacheField name="Order Last Event Status" numFmtId="0">
      <sharedItems containsBlank="1"/>
    </cacheField>
    <cacheField name="Anovo DB (Order Last Event Status)" numFmtId="0">
      <sharedItems containsBlank="1"/>
    </cacheField>
    <cacheField name="Dashboard Status" numFmtId="0">
      <sharedItems containsBlank="1"/>
    </cacheField>
    <cacheField name="Status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3">
  <r>
    <s v="ZZAppeal Process"/>
    <x v="0"/>
    <s v="Intake: Appeal"/>
    <m/>
    <s v="Appeal"/>
    <s v="Pending"/>
  </r>
  <r>
    <s v="ZZInsurance Claim Processing Issue"/>
    <x v="0"/>
    <s v="Intake: BV In Process"/>
    <m/>
    <s v="BV"/>
    <s v="Pending"/>
  </r>
  <r>
    <s v="ZZIntake: complete"/>
    <x v="0"/>
    <s v="Intake: Complete"/>
    <m/>
    <s v="Intake"/>
    <s v="Pending"/>
  </r>
  <r>
    <s v="ZZIntake: INS needed"/>
    <x v="0"/>
    <s v="Intake: Missing Insurance Info"/>
    <m/>
    <s v="Missing Info"/>
    <s v="Pending"/>
  </r>
  <r>
    <s v="ZZIntake: Left a VM"/>
    <x v="0"/>
    <s v="Intake: Left a VM"/>
    <m/>
    <s v="Intake"/>
    <s v="Pending"/>
  </r>
  <r>
    <s v="ZZIntake: Appeal"/>
    <x v="0"/>
    <s v="Intake: Appeal"/>
    <m/>
    <s v="Appeal"/>
    <s v="Pending"/>
  </r>
  <r>
    <s v="ZZIntake: Enrollment"/>
    <x v="0"/>
    <s v="Intake: Enrollment"/>
    <m/>
    <s v="Intake"/>
    <s v="Pending"/>
  </r>
  <r>
    <s v="ZZIntake: Incomplete BV"/>
    <x v="0"/>
    <s v="Intake: Incomplete BV"/>
    <m/>
    <s v="BV"/>
    <s v="Pending"/>
  </r>
  <r>
    <s v="ZZIntake: On Hold Per Patient"/>
    <x v="0"/>
    <s v="On Hold Per Patient"/>
    <m/>
    <s v="On Hold"/>
    <s v="Pending"/>
  </r>
  <r>
    <s v="ZZIntake: On Hold Per Prescriber"/>
    <x v="0"/>
    <s v="On Hold Per Prescriber"/>
    <m/>
    <s v="On Hold"/>
    <s v="Pending"/>
  </r>
  <r>
    <s v="ZZIntake: PA"/>
    <x v="0"/>
    <s v="Intake: PA"/>
    <m/>
    <s v="PA"/>
    <s v="Pending"/>
  </r>
  <r>
    <s v="ZZIntake: PAP Pending"/>
    <x v="0"/>
    <s v="Intake: PAP Pending"/>
    <m/>
    <s v="PAP"/>
    <s v="Pending"/>
  </r>
  <r>
    <s v="ZZIntake: Pending Nord"/>
    <x v="0"/>
    <s v="Intake: Pending Nord"/>
    <m/>
    <s v="Intake"/>
    <s v="Pending"/>
  </r>
  <r>
    <s v="ZZIntake: Pending Phys"/>
    <x v="0"/>
    <s v="Intake: Pending Phys"/>
    <m/>
    <s v="Intake"/>
    <s v="Pending"/>
  </r>
  <r>
    <s v="ZZIntake: PT Contact"/>
    <x v="0"/>
    <s v="Intake: PT Contact"/>
    <m/>
    <s v="Intake"/>
    <s v="Pending"/>
  </r>
  <r>
    <s v="ZZIntake:Manager Approval Needed"/>
    <x v="0"/>
    <s v="Intake: Manager Approval Needed"/>
    <m/>
    <s v="Intake"/>
    <s v="Pending"/>
  </r>
  <r>
    <s v="ZZOn Hold Per Pat"/>
    <x v="0"/>
    <s v="On Hold Per Patient"/>
    <m/>
    <s v="On Hold"/>
    <s v="Pending"/>
  </r>
  <r>
    <s v="ZZPharm not contracted"/>
    <x v="0"/>
    <s v="Intake: Contracting"/>
    <m/>
    <s v="Intake"/>
    <s v="Pending"/>
  </r>
  <r>
    <s v="ZZRe: Intake Pt Contact"/>
    <x v="0"/>
    <s v="Intake: PT Contact"/>
    <m/>
    <s v="Intake"/>
    <s v="Pending"/>
  </r>
  <r>
    <s v="ZZRefill to Soon"/>
    <x v="0"/>
    <s v="Refill too Soon"/>
    <m/>
    <s v="Active"/>
    <s v="Active"/>
  </r>
  <r>
    <s v="ZZREIntake Left a VM"/>
    <x v="0"/>
    <s v="Patients to Contact - Refills"/>
    <m/>
    <s v="Intake"/>
    <s v="Active"/>
  </r>
  <r>
    <s v="ZZREIntake: On Hold Per Patient"/>
    <x v="0"/>
    <s v="On Hold Per Patient"/>
    <m/>
    <s v="Intake"/>
    <s v="Active"/>
  </r>
  <r>
    <s v="ZZREIntake: PT Contact"/>
    <x v="0"/>
    <s v="Patients to Contact - Refills"/>
    <m/>
    <s v="Intake"/>
    <s v="Active"/>
  </r>
  <r>
    <s v="ZZUnreachable"/>
    <x v="0"/>
    <s v="Intake: Patient Unreachable"/>
    <m/>
    <s v="Intake"/>
    <s v="Pending"/>
  </r>
  <r>
    <s v="ZZUnreachable letter sent"/>
    <x v="0"/>
    <s v="Intake: Unreachable letter sent"/>
    <m/>
    <s v="Intake"/>
    <s v="Pending"/>
  </r>
  <r>
    <s v="ZZHold until patient calls"/>
    <x v="1"/>
    <s v="On Hold Per Patient"/>
    <m/>
    <s v="On Hold"/>
    <s v="Pending"/>
  </r>
  <r>
    <s v="ZZ."/>
    <x v="2"/>
    <s v="Patients to Contact - Refills"/>
    <m/>
    <s v="Active"/>
    <s v="Active"/>
  </r>
  <r>
    <s v="ZZJen working"/>
    <x v="2"/>
    <s v="Patients to Contact - Refills"/>
    <m/>
    <s v="Active"/>
    <s v="Active"/>
  </r>
  <r>
    <s v="ZZOn Hold Per Pat"/>
    <x v="2"/>
    <s v="On Hold Per Patient"/>
    <m/>
    <s v="Active"/>
    <s v="Active"/>
  </r>
  <r>
    <s v="ZZPatient will call back"/>
    <x v="2"/>
    <s v="Patients to Contact - Refills"/>
    <m/>
    <s v="Active"/>
    <s v="Active"/>
  </r>
  <r>
    <s v="ZZUnreachable"/>
    <x v="2"/>
    <s v="Patients to Contact - Refills: Unreachable"/>
    <m/>
    <s v="Active"/>
    <s v="Active"/>
  </r>
  <r>
    <s v="ZZDOH"/>
    <x v="2"/>
    <s v="Patients to Contact - Refills"/>
    <m/>
    <s v="Active"/>
    <s v="Active"/>
  </r>
  <r>
    <s v="ZZDrug On Hand"/>
    <x v="2"/>
    <s v="Patients to Contact - Refills"/>
    <m/>
    <s v="Active"/>
    <s v="Active"/>
  </r>
  <r>
    <s v="ZZDrug on Hold"/>
    <x v="2"/>
    <s v="Patients to Contact - Refills"/>
    <m/>
    <s v="Active"/>
    <s v="Active"/>
  </r>
  <r>
    <s v="Order Last Event"/>
    <x v="3"/>
    <s v="Client Status Report"/>
    <s v="Anovo DB (Order Last Event Status)"/>
    <m/>
    <m/>
  </r>
  <r>
    <s v="Intake: Alt Funding/Foundation in Process"/>
    <x v="0"/>
    <s v="Intake: Patient Assistance in Process"/>
    <s v="Intake: Alt Funding/Foundation in Process"/>
    <m/>
    <m/>
  </r>
  <r>
    <s v="Intake: Appeal Add'l Info needed from HCP"/>
    <x v="0"/>
    <s v="Intake: Appeal Add'l Info needed from HCP"/>
    <s v="Intake: Appeal Add'l Info needed from HCP"/>
    <m/>
    <m/>
  </r>
  <r>
    <s v="SF Assistance: Appeal Add'l Info need from HCP"/>
    <x v="0"/>
    <s v="Intake: Appeal Add'l Info needed from HCP"/>
    <s v="SF Assistance: Appeal Add'l Info need from HCP"/>
    <m/>
    <m/>
  </r>
  <r>
    <s v="Intake: Appeal Pending HCP Initial Submission"/>
    <x v="0"/>
    <s v="Intake: Appeal Pending HCP Initial Submission"/>
    <s v="Intake: Appeal Pending HCP Initial Submission"/>
    <m/>
    <m/>
  </r>
  <r>
    <s v="SF Assistance: Appeal Pending HCP Initial Submission"/>
    <x v="0"/>
    <s v="Intake: Appeal Pending HCP Initial Submission"/>
    <s v="SF Assistance: Appeal Pending HCP Initial Submission"/>
    <m/>
    <m/>
  </r>
  <r>
    <s v="Intake: Appeal Pending Insurance Decision"/>
    <x v="0"/>
    <s v="Intake: Appeal Pending Insurance Decision"/>
    <s v="Intake: Appeal Pending Insurance Decision"/>
    <m/>
    <m/>
  </r>
  <r>
    <s v="Intake: Appeal Required"/>
    <x v="0"/>
    <s v="Intake: Appeal Required"/>
    <s v="Intake: Appeal Required"/>
    <m/>
    <m/>
  </r>
  <r>
    <s v="Intake: Benefits Discussion"/>
    <x v="0"/>
    <s v="Intake: Contact Pt for Benefits Discussion"/>
    <s v="Intake: Benefits Discussion"/>
    <m/>
    <m/>
  </r>
  <r>
    <s v="Intake: BV In Process"/>
    <x v="0"/>
    <s v="Intake: BV In Process"/>
    <s v="Intake: BV In Process"/>
    <m/>
    <m/>
  </r>
  <r>
    <s v="Intake: BV Needed"/>
    <x v="0"/>
    <s v="Intake: BV In Process"/>
    <s v="Intake: BV Needed"/>
    <m/>
    <m/>
  </r>
  <r>
    <s v="Intake: Contracting"/>
    <x v="0"/>
    <s v="Pending Payer Contract"/>
    <s v="Intake: Contracting"/>
    <m/>
    <m/>
  </r>
  <r>
    <s v="Intake: Indexing Complete"/>
    <x v="0"/>
    <s v="Intake: BV In Process"/>
    <s v="Intake: Indexing Complete"/>
    <m/>
    <m/>
  </r>
  <r>
    <s v="Intake: Initiate PAP"/>
    <x v="0"/>
    <s v="Intake: Initiate PAP"/>
    <s v="Intake: Initiate PAP"/>
    <m/>
    <m/>
  </r>
  <r>
    <s v="Intake: Missing Information from Prescriber"/>
    <x v="0"/>
    <s v="Intake: Missing Information from Prescriber"/>
    <s v="Intake: Missing Information from Prescriber"/>
    <m/>
    <m/>
  </r>
  <r>
    <s v="SF Assistance: Missing Information from Prescriber"/>
    <x v="0"/>
    <s v="Intake: Missing Information from Prescriber"/>
    <s v="SF Assistance: Missing Information from Prescriber"/>
    <m/>
    <m/>
  </r>
  <r>
    <s v="Intake: Missing Insurance Info"/>
    <x v="0"/>
    <s v="Intake: Missing Insurance Info"/>
    <s v="Intake: Missing Insurance Info"/>
    <m/>
    <m/>
  </r>
  <r>
    <s v="Intake: New INS"/>
    <x v="0"/>
    <s v="Intake: New Insurance Received"/>
    <s v="Intake: New Insurance"/>
    <m/>
    <m/>
  </r>
  <r>
    <s v="Intake: On Hold Per Patient - Financial"/>
    <x v="0"/>
    <s v="Intake: On Hold Per Patient - Financial"/>
    <s v="Intake: On Hold Per Patient - Financial"/>
    <m/>
    <m/>
  </r>
  <r>
    <s v="Intake: On Hold Per Patient - MD Consult"/>
    <x v="0"/>
    <s v="Intake: On Hold Per Patient - MD Consult"/>
    <s v="Intake: On Hold Per Patient - MD Consult"/>
    <m/>
    <m/>
  </r>
  <r>
    <s v="Intake: On Hold Per Patient - Other"/>
    <x v="0"/>
    <s v="Intake: On Hold Per Patient - Other"/>
    <s v="Intake: On Hold Per Patient - Other"/>
    <m/>
    <m/>
  </r>
  <r>
    <s v="Intake: On Hold Per Prescriber - Lab"/>
    <x v="0"/>
    <s v="Intake: On Hold Per Prescriber - Lab"/>
    <s v="Intake: On Hold Per Prescriber - Lab"/>
    <m/>
    <m/>
  </r>
  <r>
    <s v="Intake: On Hold Per Prescriber - Other"/>
    <x v="0"/>
    <s v="Intake: On Hold Per Prescriber - Other"/>
    <s v="Intake: On Hold Per Prescriber - Other"/>
    <m/>
    <m/>
  </r>
  <r>
    <s v="Intake: On Hold Per Prescriber - Surgery"/>
    <x v="0"/>
    <s v="Intake: On Hold Per Prescriber - Surgery"/>
    <s v="Intake: On Hold Per Prescriber - Surgery"/>
    <m/>
    <m/>
  </r>
  <r>
    <s v="Intake: PA Add'l Info needed from HCP"/>
    <x v="0"/>
    <s v="Intake: PA Add'l Info needed from HCP"/>
    <s v="Intake: PA Add'l Info needed from HCP"/>
    <m/>
    <m/>
  </r>
  <r>
    <s v="SF Assistance: PA Add'l Info needed from HCP"/>
    <x v="0"/>
    <s v="Intake: PA Add'l Info needed from HCP"/>
    <s v="SF Assistance: PA Add'l Info needed from HCP"/>
    <m/>
    <m/>
  </r>
  <r>
    <s v="Intake: PA Pending HCP Initial Submission"/>
    <x v="0"/>
    <s v="Intake: PA Pending HCP Initial Submission"/>
    <s v="Intake: PA Pending HCP Initial Submission"/>
    <m/>
    <m/>
  </r>
  <r>
    <s v="SF Assistance: PA Pending HCP Initial Submission"/>
    <x v="0"/>
    <s v="Intake: PA Pending HCP Initial Submission"/>
    <s v="SF Assistance: PA Pending HCP Initial Submission"/>
    <m/>
    <m/>
  </r>
  <r>
    <s v="Intake: PA Pending Insurance Decision"/>
    <x v="0"/>
    <s v="Intake: PA Pending Insurance Decision"/>
    <s v="Intake: PA Pending Insurance Decision"/>
    <m/>
    <m/>
  </r>
  <r>
    <s v="Intake: PA Required"/>
    <x v="0"/>
    <s v="Intake: PA Required"/>
    <s v="Intake: PA Required"/>
    <m/>
    <m/>
  </r>
  <r>
    <s v="Intake: PAP Discussion"/>
    <x v="0"/>
    <s v="Intake: PAP Approval Notification to Patient"/>
    <s v="Intake: PAP Discussion"/>
    <m/>
    <m/>
  </r>
  <r>
    <s v="Intake: Pending Documents/Info from HUB"/>
    <x v="0"/>
    <s v="N/A"/>
    <s v="Intake: Pending Documents/Info from HUB"/>
    <m/>
    <m/>
  </r>
  <r>
    <s v="Intake: Pending Ins Coverage"/>
    <x v="0"/>
    <s v="Intake: Pending Ins Coverage"/>
    <s v="Intake: Pending Ins Coverage"/>
    <m/>
    <m/>
  </r>
  <r>
    <s v="Intake: Pending Override"/>
    <x v="0"/>
    <s v="Intake: Pending Payer Override"/>
    <s v="Intake-Pending Override"/>
    <m/>
    <m/>
  </r>
  <r>
    <s v="Intake: Pending PAP Documents"/>
    <x v="0"/>
    <s v="Intake: Pending PAP Documents"/>
    <s v="Intake: Pending PAP Documents"/>
    <m/>
    <m/>
  </r>
  <r>
    <s v="Intake: Pending Phys add"/>
    <x v="0"/>
    <s v="Intake: BV In Process"/>
    <s v="Intake: BV In Process"/>
    <m/>
    <m/>
  </r>
  <r>
    <s v="Intake: Pending Phys- PA Decision"/>
    <x v="0"/>
    <s v="Intake: Pending Phys- PA Decision"/>
    <s v="Intake: Pending Phys- PA Decision"/>
    <m/>
    <m/>
  </r>
  <r>
    <s v="SF Assistance: Pending Phys- PA Decision"/>
    <x v="0"/>
    <s v="Intake: Pending Phys- PA Decision"/>
    <s v="SF Assistance: Pending Phys- PA Decision"/>
    <m/>
    <m/>
  </r>
  <r>
    <s v="Intake: Pending Phys-Appeal Decision"/>
    <x v="0"/>
    <s v="Intake: Pending Phys-Appeal Decision"/>
    <s v="Intake: Pending Phys-Appeal Decision"/>
    <m/>
    <m/>
  </r>
  <r>
    <s v="SF Assistance: Pending Phys-Appeal Decision"/>
    <x v="0"/>
    <s v="Intake: Pending Phys-Appeal Decision"/>
    <s v="SF Assistance: Pending Phys-Appeal Decision"/>
    <m/>
    <m/>
  </r>
  <r>
    <s v="Intake: Pending Phys- Alt Therapy Decision"/>
    <x v="0"/>
    <s v="Intake: Pending Phys- Alt Therapy Decision"/>
    <s v="Intake: Pending Phys- Alt Therapy Decision"/>
    <m/>
    <m/>
  </r>
  <r>
    <s v="SF Assistance: Pending Phys- Alt Therapy Decision"/>
    <x v="0"/>
    <s v="Intake: Pending Phys- Alt Therapy Decision"/>
    <s v="SF Assistance: Pending Phys- Alt Therapy Decision"/>
    <m/>
    <m/>
  </r>
  <r>
    <s v="Intake: Unreachable Letter Sent"/>
    <x v="0"/>
    <s v="Intake: Unreachable letter sent"/>
    <s v="Intake: Unreachable letter sent"/>
    <m/>
    <m/>
  </r>
  <r>
    <s v="Intake: Waiting for VA approval"/>
    <x v="0"/>
    <s v="Intake: Waiting for VA approval"/>
    <s v="Intake: Waiting for VA approval"/>
    <m/>
    <m/>
  </r>
  <r>
    <s v="No Last Event Assigned"/>
    <x v="0"/>
    <s v="Intake: BV in Process"/>
    <s v="Intake: BV in Process"/>
    <m/>
    <m/>
  </r>
  <r>
    <s v="ReIntake: Alt Funding/Foundation in Process"/>
    <x v="0"/>
    <s v="ReIntake: Patient Assistance in Process"/>
    <s v="ReIntake: Alt Funding/Foundation in Process"/>
    <m/>
    <m/>
  </r>
  <r>
    <s v="Reintake: Appeal Add'l Info needed from HCP"/>
    <x v="0"/>
    <s v="Reintake: Appeal Add'l Info needed from HCP"/>
    <s v="Reintake: Appeal Add'l Info needed from HCP"/>
    <m/>
    <m/>
  </r>
  <r>
    <s v="Reintake: Appeal Pending HCP Initial Submission"/>
    <x v="0"/>
    <s v="Reintake: Appeal Pending HCP Initial Submission"/>
    <s v="Reintake: Appeal Pending HCP Initial Submission"/>
    <m/>
    <m/>
  </r>
  <r>
    <s v="Reintake: Appeal Pending Insurance Decision"/>
    <x v="0"/>
    <s v="Reintake: Appeal Pending Insurance Decision"/>
    <s v="Reintake: Appeal Pending Insurance Decision"/>
    <m/>
    <m/>
  </r>
  <r>
    <s v="Reintake: Appeal Required"/>
    <x v="0"/>
    <s v="Reintake: Appeal Required"/>
    <s v="Reintake: Appeal Required"/>
    <m/>
    <m/>
  </r>
  <r>
    <s v="Reintake: Benefits Discussion"/>
    <x v="0"/>
    <s v="Reintake: Contact Pt for Benefits Discussion"/>
    <s v="Reintake: Benefits Discussion"/>
    <m/>
    <m/>
  </r>
  <r>
    <s v="REIntake: BV In Process"/>
    <x v="0"/>
    <s v="Patients to Contact Scheduling Shipment"/>
    <s v="REIntake: BV In Process"/>
    <m/>
    <m/>
  </r>
  <r>
    <s v="REIntake: BV Needed"/>
    <x v="0"/>
    <s v="Patients to Contact Scheduling Shipment"/>
    <s v="REIntake: BV Needed"/>
    <m/>
    <m/>
  </r>
  <r>
    <s v="ReIntake: Contracting"/>
    <x v="0"/>
    <s v="Pending Payer Contract"/>
    <s v="ReIntake: Contracting"/>
    <m/>
    <m/>
  </r>
  <r>
    <s v="ReIntake: Indexing Complete"/>
    <x v="0"/>
    <s v="ReIntake: BV In Process"/>
    <s v="ReIntake: Indexing Complete"/>
    <m/>
    <m/>
  </r>
  <r>
    <s v="ReIntake: Missing Information from Prescriber"/>
    <x v="0"/>
    <s v="ReIntake: Missing Information from Prescriber"/>
    <s v="ReIntake: Missing Information from Prescriber"/>
    <m/>
    <m/>
  </r>
  <r>
    <s v="Reintake: Missing Insurance Info"/>
    <x v="0"/>
    <s v="Reintake: Missing Insurance Info"/>
    <s v="Reintake: Missing Insurance Info"/>
    <m/>
    <m/>
  </r>
  <r>
    <s v="ReIntake: New INS"/>
    <x v="0"/>
    <s v="ReIntake: New Insurance Received"/>
    <s v="ReIntake: New INS"/>
    <m/>
    <m/>
  </r>
  <r>
    <s v="REIntake: On Hold Per Patient - Financial"/>
    <x v="0"/>
    <s v="On Hold Per Patient - Financial"/>
    <s v="REIntake: On Hold Per Patient - Financial"/>
    <m/>
    <m/>
  </r>
  <r>
    <s v="REIntake: On Hold Per Patient - MD Consult"/>
    <x v="0"/>
    <s v="On Hold Per Patient - MD Consult"/>
    <s v="REIntake: On Hold Per Patient - MD Consult"/>
    <m/>
    <m/>
  </r>
  <r>
    <s v="REIntake: On Hold Per Patient - Other"/>
    <x v="0"/>
    <s v="On Hold Per Patient - Other"/>
    <s v="REIntake: On Hold Per Patient - Other"/>
    <m/>
    <m/>
  </r>
  <r>
    <s v="REIntake: On Hold Per Prescriber - Lab"/>
    <x v="0"/>
    <s v="On Hold Per Patient - Lab"/>
    <s v="REIntake: On Hold Per Prescriber - Lab"/>
    <m/>
    <m/>
  </r>
  <r>
    <s v="REIntake: On Hold Per Prescriber - Surgery"/>
    <x v="0"/>
    <s v="On Hold Per Patient - Surgery"/>
    <s v="REIntake: On Hold Per Prescriber - Surgery"/>
    <m/>
    <m/>
  </r>
  <r>
    <s v="REIntake: PA"/>
    <x v="0"/>
    <s v="ReIntake:PA"/>
    <s v="ReIntake:PA"/>
    <m/>
    <m/>
  </r>
  <r>
    <s v="Reintake: PA Add'l Info needed from HCP"/>
    <x v="0"/>
    <s v="Reintake: PA Add'l Info needed from HCP"/>
    <s v="Reintake: PA Add'l Info needed from HCP"/>
    <m/>
    <m/>
  </r>
  <r>
    <s v="Reintake: PA Pending HCP Initial Submission"/>
    <x v="0"/>
    <s v="Reintake: PA Pending HCP Initial Submission"/>
    <s v="Reintake: PA Pending HCP Initial Submission"/>
    <m/>
    <m/>
  </r>
  <r>
    <s v="Reintake: PA Pending Insurance Decision"/>
    <x v="0"/>
    <s v="Reintake: PA Pending Insurance Decision"/>
    <s v="Reintake: PA Pending Insurance Decision"/>
    <m/>
    <m/>
  </r>
  <r>
    <s v="Reintake: PA Required"/>
    <x v="0"/>
    <s v="Reintake: PA Required"/>
    <s v="Reintake: PA Required"/>
    <m/>
    <m/>
  </r>
  <r>
    <s v="Reintake: PAP Discussion"/>
    <x v="0"/>
    <s v="Reintake: PAP Approval Notification to Patient"/>
    <s v="Reintake: PAP Discussion"/>
    <m/>
    <m/>
  </r>
  <r>
    <s v="ReIntake: Pending Ins Coverage"/>
    <x v="0"/>
    <s v="ReIntake: Pending Ins Coverage"/>
    <s v="ReIntake: Pending Ins Coverage"/>
    <m/>
    <m/>
  </r>
  <r>
    <s v="REIntake: Pending PAP"/>
    <x v="0"/>
    <s v="REIntake: Pending PAP"/>
    <s v="REIntake: Pending PAP"/>
    <m/>
    <m/>
  </r>
  <r>
    <s v="REIntake: Pending Phys Add"/>
    <x v="0"/>
    <s v="Patients to Contact Scheduling Shipment"/>
    <s v="REIntake: Pending Phys Add"/>
    <m/>
    <m/>
  </r>
  <r>
    <s v="Reintake: Pending Phys- Alt Therapy Decision"/>
    <x v="0"/>
    <s v="Reintake: Pending Phys- Alt Therapy Decision"/>
    <s v="Reintake: Pending Phys- Alt Therapy Decision"/>
    <m/>
    <m/>
  </r>
  <r>
    <s v="Reintake: Pending Phys- PA Decision"/>
    <x v="0"/>
    <s v="Reintake: Pending Phys- PA Decision"/>
    <s v="Reintake: Pending Phys- PA Decision"/>
    <m/>
    <m/>
  </r>
  <r>
    <s v="Reintake: Pending Phys- PA Decision"/>
    <x v="0"/>
    <s v="Reintake: Pending Phys-Appeal Decision"/>
    <s v="Reintake: Pending Phys-Appeal Decision"/>
    <m/>
    <m/>
  </r>
  <r>
    <s v="ReIntake: Unreachable Letter Sent"/>
    <x v="0"/>
    <s v="ReIntake: Unreachable letter sent"/>
    <s v="ReIntake: Unreachable Letter Sent"/>
    <m/>
    <m/>
  </r>
  <r>
    <s v="ReIntake: Waiting for VA approval"/>
    <x v="0"/>
    <s v="ReIntake: Waiting for VA approval"/>
    <s v="ReIntake: Waiting for VA approval"/>
    <m/>
    <m/>
  </r>
  <r>
    <s v="Reintake-Pending Override"/>
    <x v="0"/>
    <s v="Reintake: Pending Override"/>
    <s v="Reintake: Pending Override"/>
    <m/>
    <m/>
  </r>
  <r>
    <s v="Reintake: Initiate PAP"/>
    <x v="0"/>
    <s v="Reintake: Initiate PAP"/>
    <s v="Reintake: Initiate PAP"/>
    <m/>
    <m/>
  </r>
  <r>
    <s v="Called and left message with MDO rep"/>
    <x v="4"/>
    <s v="Rx Clarification Needed"/>
    <s v="Called MDO for Rx clarification"/>
    <m/>
    <m/>
  </r>
  <r>
    <s v="Called and left Voicemail"/>
    <x v="4"/>
    <s v="Rx Clarification Needed"/>
    <s v="Called MDO for Rx clarification"/>
    <m/>
    <m/>
  </r>
  <r>
    <s v="Clarification Needed"/>
    <x v="4"/>
    <s v="Rx Clarification Needed"/>
    <s v="Clarification Needed"/>
    <m/>
    <m/>
  </r>
  <r>
    <s v="Discontinue Rx"/>
    <x v="4"/>
    <s v="Rx Clarification Needed"/>
    <s v="Rx Clarification Needed"/>
    <m/>
    <m/>
  </r>
  <r>
    <s v="Has another Rx as well"/>
    <x v="4"/>
    <s v="Rx Clarification Needed"/>
    <s v="Clarification Needed"/>
    <m/>
    <m/>
  </r>
  <r>
    <s v="Maintenance Dose Rx"/>
    <x v="4"/>
    <s v="Rx Clarification Needed"/>
    <s v="Maintenance Dose Rx"/>
    <m/>
    <m/>
  </r>
  <r>
    <s v="New RX received"/>
    <x v="4"/>
    <s v="Rx Verification"/>
    <s v="New Rx Received"/>
    <m/>
    <m/>
  </r>
  <r>
    <s v="No Last Event Assigned"/>
    <x v="4"/>
    <s v="Rx Verification"/>
    <s v="Rx Setup"/>
    <m/>
    <m/>
  </r>
  <r>
    <s v="Pharmacist Review"/>
    <x v="4"/>
    <s v="Rx Clarification Needed"/>
    <s v="Clarification Needed"/>
    <m/>
    <m/>
  </r>
  <r>
    <s v="Pharmacist Review - Dose Change"/>
    <x v="4"/>
    <s v="Rx Clarification Needed"/>
    <s v="Clarification Needed"/>
    <m/>
    <m/>
  </r>
  <r>
    <s v="Ready to Fill"/>
    <x v="4"/>
    <s v="Patients to Contact - Scheduling Shipment"/>
    <s v="Ready to Fill"/>
    <m/>
    <m/>
  </r>
  <r>
    <s v="Ready to Fill"/>
    <x v="4"/>
    <s v="Patients to Contact - Scheduling Shipment"/>
    <s v="Patients to Contact - Scheduling Shipment"/>
    <m/>
    <m/>
  </r>
  <r>
    <s v="See Progress Note"/>
    <x v="4"/>
    <s v="Rx Clarification Needed"/>
    <s v="Rx Clarification Needed"/>
    <m/>
    <m/>
  </r>
  <r>
    <s v="No Last Event Assigned"/>
    <x v="5"/>
    <s v="Rx Verification"/>
    <s v="Rx Verification"/>
    <m/>
    <m/>
  </r>
  <r>
    <s v="No Last Event Assigned"/>
    <x v="6"/>
    <s v="Rx Verification"/>
    <s v="Rx Verification"/>
    <m/>
    <m/>
  </r>
  <r>
    <s v="Called and left message with MDO rep"/>
    <x v="7"/>
    <s v="Rx Verification"/>
    <s v="Rx Verification"/>
    <m/>
    <m/>
  </r>
  <r>
    <s v="Clarification Needed"/>
    <x v="7"/>
    <s v="Rx Clarification Needed"/>
    <s v="Clarification Needed"/>
    <m/>
    <m/>
  </r>
  <r>
    <s v="Has another Rx as well"/>
    <x v="7"/>
    <s v="N/A"/>
    <s v="N/A"/>
    <m/>
    <m/>
  </r>
  <r>
    <s v="No Last Event Assigned"/>
    <x v="7"/>
    <s v="Rx Verification"/>
    <s v="Rx Verification"/>
    <m/>
    <m/>
  </r>
  <r>
    <s v="No Last Event Assigned"/>
    <x v="8"/>
    <s v="Patients to Contact - Scheduling Shipment"/>
    <s v="Patients to Contact - Scheduling Shipment"/>
    <m/>
    <m/>
  </r>
  <r>
    <s v="1st Scheduling Attempt"/>
    <x v="1"/>
    <s v="Patients to Contact - Scheduling Shipment: 1st Attempt"/>
    <s v="Patients to Contact - Scheduling Shipment: 1st Attempt"/>
    <m/>
    <m/>
  </r>
  <r>
    <s v="2nd Scheduling Attempt"/>
    <x v="1"/>
    <s v="Patients to Contact - Scheduling Shipment: 2nd Attempt"/>
    <s v="Patients to Contact - Scheduling Shipment: 2nd Attempt"/>
    <m/>
    <m/>
  </r>
  <r>
    <s v="3rd Scheduling Attempt"/>
    <x v="1"/>
    <s v="Patients to Contact - Scheduling Shipment: 3rd Attempt"/>
    <s v="Patients to Contact - Scheduling Shipment: 3rd Attempt"/>
    <m/>
    <m/>
  </r>
  <r>
    <s v="4th Scheduling Attempt"/>
    <x v="1"/>
    <s v="Patients to Contact - Scheduling Shipment: 4th Attempt"/>
    <s v="Patients to Contact - Scheduling Shipment: 4th Attempt"/>
    <m/>
    <m/>
  </r>
  <r>
    <s v="Inconvenient Time for Call"/>
    <x v="1"/>
    <s v="Patients to Contact - Scheduling Shipment"/>
    <s v="Patients to Contact - Scheduling Shipment"/>
    <m/>
    <m/>
  </r>
  <r>
    <s v="No Last Event Assigned"/>
    <x v="1"/>
    <s v="Patients to Contact - Scheduling Shipment"/>
    <s v="Patients to Contact - Scheduling Shipment"/>
    <m/>
    <m/>
  </r>
  <r>
    <s v="Patient will call back"/>
    <x v="1"/>
    <s v="Patients to Contact - Scheduling Shipment"/>
    <s v="Patients to Contact - Scheduling Shipment"/>
    <m/>
    <m/>
  </r>
  <r>
    <s v="Ready to Fill (change name - Ready to Schedule)"/>
    <x v="1"/>
    <s v="Patients to Contact - Scheduling Shipment"/>
    <s v="Patients to Contact - Scheduling Shipment"/>
    <m/>
    <m/>
  </r>
  <r>
    <s v="See Progress Note"/>
    <x v="1"/>
    <s v="Patients to Contact - Scheduling Shipment"/>
    <s v="Patients to Contact - Scheduling Shipment"/>
    <m/>
    <m/>
  </r>
  <r>
    <s v="1st eRx Attempt"/>
    <x v="2"/>
    <s v="Patients to Contact - Scheduling Shipment"/>
    <s v="Patients to Contact - Scheduling Shipment"/>
    <m/>
    <m/>
  </r>
  <r>
    <s v="1st Fax Attempt"/>
    <x v="2"/>
    <s v="Patients to Contact - Scheduling Shipment"/>
    <s v="Patients to Contact - Scheduling Shipment"/>
    <m/>
    <m/>
  </r>
  <r>
    <s v="1st Scheduling Attempt"/>
    <x v="2"/>
    <s v="Patients to Contact - Scheduling Shipment: 1st Attempt"/>
    <s v="Patients to Contact - Scheduling Shipment: 1st Attempt"/>
    <m/>
    <m/>
  </r>
  <r>
    <s v="2nd eRx Attempt"/>
    <x v="2"/>
    <s v="Patients to Contact - Scheduling Shipment"/>
    <s v="Patients to Contact - Scheduling Shipment"/>
    <m/>
    <m/>
  </r>
  <r>
    <s v="2nd Fax Attempt"/>
    <x v="2"/>
    <s v="Patients to Contact - Scheduling Shipment"/>
    <s v="Patients to Contact - Scheduling Shipment"/>
    <m/>
    <m/>
  </r>
  <r>
    <s v="2nd Scheduling Attempt"/>
    <x v="2"/>
    <s v="Patients to Contact - Scheduling Shipment: 2nd  Attempt"/>
    <s v="Patients to Contact - Scheduling Shipment: 2nd  Attempt"/>
    <m/>
    <m/>
  </r>
  <r>
    <s v="3rd Scheduling Attempt"/>
    <x v="2"/>
    <s v="Patients to Contact - Scheduling Shipment: 3rd Attempt"/>
    <s v="Patients to Contact - Scheduling Shipment: 3rd Attempt"/>
    <m/>
    <m/>
  </r>
  <r>
    <s v="4th Scheduling Attempt"/>
    <x v="2"/>
    <s v="Patients to Contact - Scheduling Shipment: 4th Attempt"/>
    <s v="Patients to Contact - Scheduling Shipment: 4th Attempt"/>
    <m/>
    <m/>
  </r>
  <r>
    <s v="5th Scheduling Attempt"/>
    <x v="2"/>
    <s v="Patients to Contact - Scheduling Shipment: 5th Attempt"/>
    <s v="Patients to Contact - Scheduling Shipment: 5th Attempt"/>
    <m/>
    <m/>
  </r>
  <r>
    <s v="6th Scheduling Attempt"/>
    <x v="2"/>
    <s v="Patients to Contact - Scheduling Shipment: 6th Attempt"/>
    <s v="Patients to Contact - Scheduling Shipment: 6th Attempt"/>
    <m/>
    <m/>
  </r>
  <r>
    <s v="Call to schedule"/>
    <x v="2"/>
    <s v="Patients to Contact - Scheduling Shipment"/>
    <s v="Patients to Contact - Scheduling Shipment"/>
    <m/>
    <m/>
  </r>
  <r>
    <s v="DOH - Dose Decrease"/>
    <x v="2"/>
    <s v="Drug on Hand - Dose Decrease"/>
    <s v="Drug on Hand - Dose Decrease"/>
    <m/>
    <m/>
  </r>
  <r>
    <s v="DOH - Dose Increase"/>
    <x v="2"/>
    <s v="Drug on Hand - Dose Increase"/>
    <s v="Drug on Hand - Dose Increase"/>
    <m/>
    <m/>
  </r>
  <r>
    <s v="DOH - Drug on Hold"/>
    <x v="2"/>
    <s v="Drug on Hold - Therapy on Hold"/>
    <s v="Drug on Hold - Therapy on Hold"/>
    <m/>
    <m/>
  </r>
  <r>
    <s v="DOH - Drug on Hold"/>
    <x v="2"/>
    <s v="Pending Close"/>
    <s v="Drug on Hold - Therapy on Hold"/>
    <m/>
    <m/>
  </r>
  <r>
    <s v="DOH - Slow Titration"/>
    <x v="2"/>
    <s v="Drug on Hand  - Slow Titration"/>
    <s v="Drug on Hand  - Slow Titration"/>
    <m/>
    <m/>
  </r>
  <r>
    <s v="DOH - Tapering Off"/>
    <x v="2"/>
    <s v="Drug on Hand - Tapering Off Drug"/>
    <s v="Drug on Hand - Tapering Off Drug"/>
    <m/>
    <m/>
  </r>
  <r>
    <s v="Drug on Hand- Side Effects"/>
    <x v="2"/>
    <s v="Drug on Hand- Side Effects"/>
    <s v="Drug on Hand- Side Effects"/>
    <m/>
    <m/>
  </r>
  <r>
    <s v="Hold Patient in Hospital"/>
    <x v="2"/>
    <s v="Drug on Hold- Patient Hospitalized"/>
    <s v="Drug on Hold- Patient Hospitalized"/>
    <m/>
    <m/>
  </r>
  <r>
    <s v="Inconvenient Time for Call"/>
    <x v="2"/>
    <s v="Patients to Contact -  Sched Ship Pt Req Call Back"/>
    <s v="Patients to Contact -  Sched Ship Pt Req Call Back"/>
    <m/>
    <m/>
  </r>
  <r>
    <s v="On Hold - Pending Labs/Testing"/>
    <x v="2"/>
    <s v="On Hold - Pending Labs/ Testing"/>
    <s v="On Hold - Pending Labs/Testing"/>
    <m/>
    <m/>
  </r>
  <r>
    <s v="On Hold - Pending Labs/Testing"/>
    <x v="2"/>
    <s v="Pending Close"/>
    <s v="On Hold - Pending Labs/Testing"/>
    <m/>
    <m/>
  </r>
  <r>
    <s v="On Hold - Pending Surgery"/>
    <x v="2"/>
    <s v="On Hold - Pending Surgery"/>
    <s v="On Hold - Pending Surgery"/>
    <m/>
    <m/>
  </r>
  <r>
    <s v="On Hold - Pending Surgery"/>
    <x v="2"/>
    <s v="Pending Close"/>
    <s v="On Hold - Pending Surgery"/>
    <m/>
    <m/>
  </r>
  <r>
    <s v="SF Assistance: Clarification Needed"/>
    <x v="2"/>
    <s v="Clarification Needed"/>
    <s v="SF Assistance: Clarification Needed"/>
    <m/>
    <m/>
  </r>
  <r>
    <s v="On Hold - Per Nurse at MDO"/>
    <x v="2"/>
    <s v="RX on Hold- Per Nurse at MDO"/>
    <s v="RX on Hold- Per Nurse at MDO"/>
    <m/>
    <m/>
  </r>
  <r>
    <s v="No Last Event Assigned"/>
    <x v="2"/>
    <s v="Patients to Contact - Scheduling Shipment"/>
    <s v="Patients to Contact - Scheduling Shipment"/>
    <m/>
    <m/>
  </r>
  <r>
    <s v="Patient not Contacted"/>
    <x v="2"/>
    <s v="Patient will call for Refill"/>
    <s v="Patient will call for Refill"/>
    <m/>
    <m/>
  </r>
  <r>
    <s v="Patient not Contacted"/>
    <x v="2"/>
    <s v="Pending Close"/>
    <s v="Patient will call for Refill"/>
    <m/>
    <m/>
  </r>
  <r>
    <s v="See Progress Note"/>
    <x v="2"/>
    <s v="Patients to Contact - Scheduling Shipment"/>
    <s v="Patients to Contact - Scheduling Shipment"/>
    <m/>
    <m/>
  </r>
  <r>
    <s v="SLAR-need MDO approval to ship"/>
    <x v="2"/>
    <s v="Patients to Contact - Scheduling Shipment w/ MDO "/>
    <s v="Patients to Contact - Scheduling Shipment w/ MDO"/>
    <m/>
    <m/>
  </r>
  <r>
    <s v="Unreachable letter sent"/>
    <x v="2"/>
    <s v="Patients to Contact - Scheduling Shipment: Unreachable letter sent"/>
    <s v="Patients to Contact - Scheduling Shipment: Unreachable letter sent"/>
    <m/>
    <m/>
  </r>
  <r>
    <s v="1st Fax Attempt"/>
    <x v="9"/>
    <s v="Shipment Scheduled"/>
    <s v="Shipment Scheduled"/>
    <m/>
    <m/>
  </r>
  <r>
    <s v="Has another Rx as well"/>
    <x v="9"/>
    <s v="Shipment Scheduled"/>
    <s v="Shipment Scheduled"/>
    <m/>
    <m/>
  </r>
  <r>
    <s v="No Last Event Assigned"/>
    <x v="9"/>
    <s v="Shipment Scheduled"/>
    <s v="Shipment Scheduled"/>
    <m/>
    <m/>
  </r>
  <r>
    <s v="No Last Event Assigned"/>
    <x v="10"/>
    <s v="Shipment Scheduled"/>
    <s v="Shipment Scheduled"/>
    <m/>
    <m/>
  </r>
  <r>
    <s v="No Last Event Assigned"/>
    <x v="11"/>
    <s v="Shipment Scheduled"/>
    <s v="Shipment Scheduled"/>
    <m/>
    <m/>
  </r>
  <r>
    <s v="No Last Event Assigned"/>
    <x v="12"/>
    <s v="Shipment Scheduled"/>
    <s v="Shipment Scheduled"/>
    <m/>
    <m/>
  </r>
  <r>
    <s v="1st eRx Attempt"/>
    <x v="13"/>
    <s v="New Rx Needed - 1st eRx Attempt"/>
    <s v="New Rx Needed - 1st eRx Attempt"/>
    <m/>
    <m/>
  </r>
  <r>
    <s v="1st Fax Attempt"/>
    <x v="13"/>
    <s v="New Rx Needed - 1st Fax Attempt"/>
    <s v="New Rx Needed - 1st Fax Attempt"/>
    <m/>
    <m/>
  </r>
  <r>
    <s v="2nd Fax Attempt"/>
    <x v="13"/>
    <s v="New Rx Needed - 2nd Fax Attempt"/>
    <s v="New Rx Needed - 2nd Fax Attempt"/>
    <m/>
    <m/>
  </r>
  <r>
    <s v="2nd Rx attempt"/>
    <x v="13"/>
    <s v="New Rx Needed - 2nd eRx Attempt"/>
    <s v="New Rx Needed - 2nd eRx Attempt"/>
    <m/>
    <m/>
  </r>
  <r>
    <s v="Called and left Voicemail"/>
    <x v="13"/>
    <s v="New Rx Needed"/>
    <s v="New Rx Needed"/>
    <m/>
    <m/>
  </r>
  <r>
    <s v="Has another Rx as well"/>
    <x v="13"/>
    <s v="N/A"/>
    <s v="N/A"/>
    <m/>
    <m/>
  </r>
  <r>
    <s v="MD/patient notified- Attempt 1"/>
    <x v="13"/>
    <s v="New Rx Needed- Call to MD/ Patient- attempt 1"/>
    <s v="New Rx Needed- Call to MD/ Patient- attempt 1"/>
    <m/>
    <m/>
  </r>
  <r>
    <s v="MD/patient notified- Attempt 2"/>
    <x v="13"/>
    <s v="New Rx Needed- Call to MD/ Patient- attempt 2"/>
    <s v="New Rx Needed- Call to MD/ Patient- attempt 2"/>
    <m/>
    <m/>
  </r>
  <r>
    <s v="MD/patient notified- Attempt 2"/>
    <x v="13"/>
    <s v="New Rx Needed- Pending Close"/>
    <s v="New Rx Needed- Call to MD/ Patient- attempt 2"/>
    <m/>
    <m/>
  </r>
  <r>
    <s v="New RX received"/>
    <x v="13"/>
    <s v="New Rx Received"/>
    <s v="New Rx Received"/>
    <m/>
    <m/>
  </r>
  <r>
    <s v="No Last Event Assigned"/>
    <x v="13"/>
    <s v="New Rx Needed"/>
    <s v="New Rx Needed"/>
    <m/>
    <m/>
  </r>
  <r>
    <s v="See Progress Note"/>
    <x v="13"/>
    <s v="New Rx Needed"/>
    <s v="New Rx Needed"/>
    <m/>
    <m/>
  </r>
  <r>
    <s v="Discontinue Rx"/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9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7" firstHeaderRow="1" firstDataRow="1" firstDataCol="1"/>
  <pivotFields count="6">
    <pivotField showAll="0"/>
    <pivotField axis="axisRow" showAll="0">
      <items count="16">
        <item x="0"/>
        <item x="4"/>
        <item x="5"/>
        <item x="6"/>
        <item x="7"/>
        <item x="8"/>
        <item x="1"/>
        <item x="2"/>
        <item x="9"/>
        <item m="1" x="14"/>
        <item x="11"/>
        <item x="12"/>
        <item x="13"/>
        <item h="1" x="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17"/>
  <sheetViews>
    <sheetView workbookViewId="0">
      <selection activeCell="A5" sqref="A5"/>
    </sheetView>
  </sheetViews>
  <sheetFormatPr defaultRowHeight="15" x14ac:dyDescent="0.25"/>
  <cols>
    <col min="1" max="1" width="32.42578125" bestFit="1" customWidth="1"/>
  </cols>
  <sheetData>
    <row r="3" spans="1:1" x14ac:dyDescent="0.25">
      <c r="A3" s="11" t="s">
        <v>291</v>
      </c>
    </row>
    <row r="4" spans="1:1" x14ac:dyDescent="0.25">
      <c r="A4" s="12" t="s">
        <v>6</v>
      </c>
    </row>
    <row r="5" spans="1:1" x14ac:dyDescent="0.25">
      <c r="A5" s="12" t="s">
        <v>34</v>
      </c>
    </row>
    <row r="6" spans="1:1" x14ac:dyDescent="0.25">
      <c r="A6" s="12" t="s">
        <v>40</v>
      </c>
    </row>
    <row r="7" spans="1:1" x14ac:dyDescent="0.25">
      <c r="A7" s="12" t="s">
        <v>15</v>
      </c>
    </row>
    <row r="8" spans="1:1" x14ac:dyDescent="0.25">
      <c r="A8" s="12" t="s">
        <v>42</v>
      </c>
    </row>
    <row r="9" spans="1:1" x14ac:dyDescent="0.25">
      <c r="A9" s="12" t="s">
        <v>30</v>
      </c>
    </row>
    <row r="10" spans="1:1" x14ac:dyDescent="0.25">
      <c r="A10" s="12" t="s">
        <v>10</v>
      </c>
    </row>
    <row r="11" spans="1:1" x14ac:dyDescent="0.25">
      <c r="A11" s="12" t="s">
        <v>23</v>
      </c>
    </row>
    <row r="12" spans="1:1" x14ac:dyDescent="0.25">
      <c r="A12" s="12" t="s">
        <v>43</v>
      </c>
    </row>
    <row r="13" spans="1:1" x14ac:dyDescent="0.25">
      <c r="A13" s="12" t="s">
        <v>45</v>
      </c>
    </row>
    <row r="14" spans="1:1" x14ac:dyDescent="0.25">
      <c r="A14" s="12" t="s">
        <v>46</v>
      </c>
    </row>
    <row r="15" spans="1:1" x14ac:dyDescent="0.25">
      <c r="A15" s="12" t="s">
        <v>38</v>
      </c>
    </row>
    <row r="16" spans="1:1" x14ac:dyDescent="0.25">
      <c r="A16" s="12" t="s">
        <v>293</v>
      </c>
    </row>
    <row r="17" spans="1:1" x14ac:dyDescent="0.25">
      <c r="A17" s="12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7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7.42578125" customWidth="1"/>
    <col min="2" max="2" width="35.85546875" bestFit="1" customWidth="1"/>
    <col min="3" max="3" width="66.5703125" customWidth="1"/>
    <col min="4" max="4" width="65.28515625" bestFit="1" customWidth="1"/>
    <col min="5" max="5" width="21" bestFit="1" customWidth="1"/>
    <col min="6" max="6" width="15.7109375" bestFit="1" customWidth="1"/>
    <col min="7" max="7" width="20.85546875" customWidth="1"/>
    <col min="8" max="11" width="19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166</v>
      </c>
      <c r="E1" s="1" t="s">
        <v>3</v>
      </c>
      <c r="F1" s="1" t="s">
        <v>4</v>
      </c>
      <c r="G1" s="14" t="s">
        <v>301</v>
      </c>
      <c r="H1" s="13" t="s">
        <v>300</v>
      </c>
      <c r="I1" s="13" t="s">
        <v>306</v>
      </c>
    </row>
    <row r="2" spans="1:11" ht="75" x14ac:dyDescent="0.25">
      <c r="A2" s="5" t="s">
        <v>50</v>
      </c>
      <c r="B2" t="s">
        <v>23</v>
      </c>
      <c r="C2" t="s">
        <v>144</v>
      </c>
      <c r="D2" s="5" t="s">
        <v>144</v>
      </c>
      <c r="F2" t="s">
        <v>7</v>
      </c>
      <c r="G2" s="5" t="s">
        <v>254</v>
      </c>
      <c r="J2" s="4" t="s">
        <v>172</v>
      </c>
      <c r="K2" s="5"/>
    </row>
    <row r="3" spans="1:11" ht="45" x14ac:dyDescent="0.25">
      <c r="A3" s="5" t="s">
        <v>50</v>
      </c>
      <c r="B3" t="s">
        <v>38</v>
      </c>
      <c r="C3" t="s">
        <v>160</v>
      </c>
      <c r="D3" s="5" t="s">
        <v>160</v>
      </c>
      <c r="F3" t="s">
        <v>7</v>
      </c>
      <c r="G3" s="5" t="s">
        <v>282</v>
      </c>
      <c r="H3" t="s">
        <v>174</v>
      </c>
      <c r="J3" s="4" t="s">
        <v>172</v>
      </c>
      <c r="K3" s="10" t="s">
        <v>283</v>
      </c>
    </row>
    <row r="4" spans="1:11" ht="75" x14ac:dyDescent="0.25">
      <c r="A4" s="5" t="s">
        <v>31</v>
      </c>
      <c r="B4" t="s">
        <v>23</v>
      </c>
      <c r="C4" t="s">
        <v>144</v>
      </c>
      <c r="D4" s="5" t="s">
        <v>144</v>
      </c>
      <c r="F4" t="s">
        <v>7</v>
      </c>
      <c r="G4" s="5" t="s">
        <v>255</v>
      </c>
      <c r="J4" s="4" t="s">
        <v>172</v>
      </c>
      <c r="K4" s="5"/>
    </row>
    <row r="5" spans="1:11" ht="75" x14ac:dyDescent="0.25">
      <c r="A5" s="5" t="s">
        <v>31</v>
      </c>
      <c r="B5" t="s">
        <v>43</v>
      </c>
      <c r="C5" t="s">
        <v>44</v>
      </c>
      <c r="D5" s="5" t="s">
        <v>44</v>
      </c>
      <c r="F5" t="s">
        <v>7</v>
      </c>
      <c r="G5" s="5" t="s">
        <v>280</v>
      </c>
      <c r="J5" s="4" t="s">
        <v>172</v>
      </c>
      <c r="K5" s="5"/>
    </row>
    <row r="6" spans="1:11" ht="45" x14ac:dyDescent="0.25">
      <c r="A6" s="5" t="s">
        <v>31</v>
      </c>
      <c r="B6" t="s">
        <v>38</v>
      </c>
      <c r="C6" t="s">
        <v>161</v>
      </c>
      <c r="D6" s="5" t="s">
        <v>161</v>
      </c>
      <c r="F6" t="s">
        <v>7</v>
      </c>
      <c r="G6" s="5" t="s">
        <v>284</v>
      </c>
      <c r="H6" t="s">
        <v>174</v>
      </c>
      <c r="J6" s="4" t="s">
        <v>172</v>
      </c>
      <c r="K6" s="5"/>
    </row>
    <row r="7" spans="1:11" ht="60" x14ac:dyDescent="0.25">
      <c r="A7" s="5" t="s">
        <v>26</v>
      </c>
      <c r="B7" t="s">
        <v>10</v>
      </c>
      <c r="C7" t="s">
        <v>145</v>
      </c>
      <c r="D7" s="5" t="s">
        <v>145</v>
      </c>
      <c r="F7" t="s">
        <v>9</v>
      </c>
      <c r="G7" s="5" t="s">
        <v>246</v>
      </c>
      <c r="J7" s="4" t="s">
        <v>172</v>
      </c>
      <c r="K7" s="5"/>
    </row>
    <row r="8" spans="1:11" ht="60" x14ac:dyDescent="0.25">
      <c r="A8" s="5" t="s">
        <v>26</v>
      </c>
      <c r="B8" t="s">
        <v>23</v>
      </c>
      <c r="C8" t="s">
        <v>145</v>
      </c>
      <c r="D8" s="5" t="s">
        <v>145</v>
      </c>
      <c r="F8" t="s">
        <v>7</v>
      </c>
      <c r="G8" s="5" t="s">
        <v>256</v>
      </c>
      <c r="J8" s="4" t="s">
        <v>172</v>
      </c>
      <c r="K8" s="5"/>
    </row>
    <row r="9" spans="1:11" ht="75" x14ac:dyDescent="0.25">
      <c r="A9" s="5" t="s">
        <v>57</v>
      </c>
      <c r="B9" t="s">
        <v>23</v>
      </c>
      <c r="C9" t="s">
        <v>144</v>
      </c>
      <c r="D9" s="5" t="s">
        <v>144</v>
      </c>
      <c r="F9" t="s">
        <v>7</v>
      </c>
      <c r="G9" s="5" t="s">
        <v>257</v>
      </c>
      <c r="J9" s="4" t="s">
        <v>172</v>
      </c>
      <c r="K9" s="5"/>
    </row>
    <row r="10" spans="1:11" ht="45" x14ac:dyDescent="0.25">
      <c r="A10" s="5" t="s">
        <v>57</v>
      </c>
      <c r="B10" t="s">
        <v>38</v>
      </c>
      <c r="C10" t="s">
        <v>322</v>
      </c>
      <c r="D10" t="s">
        <v>322</v>
      </c>
      <c r="F10" t="s">
        <v>7</v>
      </c>
      <c r="G10" s="5" t="s">
        <v>323</v>
      </c>
      <c r="H10" t="s">
        <v>174</v>
      </c>
      <c r="J10" s="4" t="s">
        <v>172</v>
      </c>
      <c r="K10" s="10" t="s">
        <v>283</v>
      </c>
    </row>
    <row r="11" spans="1:11" ht="75" x14ac:dyDescent="0.25">
      <c r="A11" s="5" t="s">
        <v>32</v>
      </c>
      <c r="B11" t="s">
        <v>23</v>
      </c>
      <c r="C11" t="s">
        <v>144</v>
      </c>
      <c r="D11" s="5" t="s">
        <v>144</v>
      </c>
      <c r="F11" t="s">
        <v>7</v>
      </c>
      <c r="G11" s="5" t="s">
        <v>258</v>
      </c>
      <c r="J11" s="4" t="s">
        <v>172</v>
      </c>
      <c r="K11" s="5"/>
    </row>
    <row r="12" spans="1:11" ht="45" x14ac:dyDescent="0.25">
      <c r="A12" s="5" t="s">
        <v>32</v>
      </c>
      <c r="B12" t="s">
        <v>38</v>
      </c>
      <c r="C12" t="s">
        <v>162</v>
      </c>
      <c r="D12" s="5" t="s">
        <v>162</v>
      </c>
      <c r="F12" t="s">
        <v>7</v>
      </c>
      <c r="G12" s="5" t="s">
        <v>285</v>
      </c>
      <c r="H12" t="s">
        <v>174</v>
      </c>
      <c r="J12" s="4" t="s">
        <v>172</v>
      </c>
      <c r="K12" s="5"/>
    </row>
    <row r="13" spans="1:11" ht="60" x14ac:dyDescent="0.25">
      <c r="A13" s="5" t="s">
        <v>27</v>
      </c>
      <c r="B13" t="s">
        <v>10</v>
      </c>
      <c r="C13" t="s">
        <v>146</v>
      </c>
      <c r="D13" t="s">
        <v>146</v>
      </c>
      <c r="F13" t="s">
        <v>9</v>
      </c>
      <c r="G13" s="5" t="s">
        <v>247</v>
      </c>
      <c r="J13" s="4" t="s">
        <v>172</v>
      </c>
      <c r="K13" s="5"/>
    </row>
    <row r="14" spans="1:11" ht="60" x14ac:dyDescent="0.25">
      <c r="A14" s="5" t="s">
        <v>27</v>
      </c>
      <c r="B14" t="s">
        <v>23</v>
      </c>
      <c r="C14" t="s">
        <v>146</v>
      </c>
      <c r="D14" t="s">
        <v>146</v>
      </c>
      <c r="F14" t="s">
        <v>7</v>
      </c>
      <c r="G14" s="5" t="s">
        <v>259</v>
      </c>
      <c r="J14" s="4" t="s">
        <v>172</v>
      </c>
      <c r="K14" s="5"/>
    </row>
    <row r="15" spans="1:11" ht="60" x14ac:dyDescent="0.25">
      <c r="A15" s="5" t="s">
        <v>28</v>
      </c>
      <c r="B15" t="s">
        <v>10</v>
      </c>
      <c r="C15" t="s">
        <v>147</v>
      </c>
      <c r="D15" s="5" t="s">
        <v>147</v>
      </c>
      <c r="F15" t="s">
        <v>9</v>
      </c>
      <c r="G15" s="5" t="s">
        <v>248</v>
      </c>
      <c r="J15" s="4" t="s">
        <v>172</v>
      </c>
      <c r="K15" s="5"/>
    </row>
    <row r="16" spans="1:11" ht="60" x14ac:dyDescent="0.25">
      <c r="A16" s="5" t="s">
        <v>28</v>
      </c>
      <c r="B16" t="s">
        <v>23</v>
      </c>
      <c r="C16" t="s">
        <v>147</v>
      </c>
      <c r="D16" s="5" t="s">
        <v>147</v>
      </c>
      <c r="F16" t="s">
        <v>7</v>
      </c>
      <c r="G16" s="5" t="s">
        <v>260</v>
      </c>
      <c r="J16" s="4" t="s">
        <v>172</v>
      </c>
      <c r="K16" s="5"/>
    </row>
    <row r="17" spans="1:11" ht="225" x14ac:dyDescent="0.25">
      <c r="A17" s="5" t="s">
        <v>29</v>
      </c>
      <c r="B17" t="s">
        <v>10</v>
      </c>
      <c r="C17" t="s">
        <v>148</v>
      </c>
      <c r="D17" s="5" t="s">
        <v>148</v>
      </c>
      <c r="F17" t="s">
        <v>9</v>
      </c>
      <c r="G17" s="5" t="s">
        <v>249</v>
      </c>
      <c r="J17" s="4" t="s">
        <v>172</v>
      </c>
      <c r="K17" s="5"/>
    </row>
    <row r="18" spans="1:11" ht="60" x14ac:dyDescent="0.25">
      <c r="A18" s="5" t="s">
        <v>29</v>
      </c>
      <c r="B18" t="s">
        <v>23</v>
      </c>
      <c r="C18" t="s">
        <v>148</v>
      </c>
      <c r="D18" s="5" t="s">
        <v>148</v>
      </c>
      <c r="F18" t="s">
        <v>9</v>
      </c>
      <c r="G18" s="5" t="s">
        <v>261</v>
      </c>
      <c r="J18" s="4" t="s">
        <v>172</v>
      </c>
      <c r="K18" s="5"/>
    </row>
    <row r="19" spans="1:11" ht="60" x14ac:dyDescent="0.25">
      <c r="A19" s="5" t="s">
        <v>29</v>
      </c>
      <c r="B19" t="s">
        <v>23</v>
      </c>
      <c r="C19" t="s">
        <v>148</v>
      </c>
      <c r="D19" s="5" t="s">
        <v>148</v>
      </c>
      <c r="F19" t="s">
        <v>7</v>
      </c>
      <c r="G19" s="5" t="s">
        <v>261</v>
      </c>
      <c r="J19" s="4" t="s">
        <v>172</v>
      </c>
      <c r="K19" s="5"/>
    </row>
    <row r="20" spans="1:11" ht="60" x14ac:dyDescent="0.25">
      <c r="A20" s="5" t="s">
        <v>124</v>
      </c>
      <c r="B20" t="s">
        <v>23</v>
      </c>
      <c r="C20" t="s">
        <v>149</v>
      </c>
      <c r="D20" s="5" t="s">
        <v>149</v>
      </c>
      <c r="F20" t="s">
        <v>7</v>
      </c>
      <c r="G20" s="5" t="s">
        <v>262</v>
      </c>
      <c r="J20" s="4" t="s">
        <v>172</v>
      </c>
      <c r="K20" s="5"/>
    </row>
    <row r="21" spans="1:11" ht="60" x14ac:dyDescent="0.25">
      <c r="A21" s="5" t="s">
        <v>56</v>
      </c>
      <c r="B21" t="s">
        <v>23</v>
      </c>
      <c r="C21" t="s">
        <v>150</v>
      </c>
      <c r="D21" s="5" t="s">
        <v>150</v>
      </c>
      <c r="F21" t="s">
        <v>7</v>
      </c>
      <c r="G21" s="5" t="s">
        <v>263</v>
      </c>
      <c r="J21" s="4" t="s">
        <v>172</v>
      </c>
      <c r="K21" s="5"/>
    </row>
    <row r="22" spans="1:11" ht="75" x14ac:dyDescent="0.25">
      <c r="A22" s="5" t="s">
        <v>55</v>
      </c>
      <c r="B22" t="s">
        <v>23</v>
      </c>
      <c r="C22" t="s">
        <v>144</v>
      </c>
      <c r="D22" s="5" t="s">
        <v>144</v>
      </c>
      <c r="F22" t="s">
        <v>7</v>
      </c>
      <c r="G22" s="5" t="s">
        <v>264</v>
      </c>
      <c r="J22" s="4"/>
      <c r="K22" s="5"/>
    </row>
    <row r="23" spans="1:11" ht="60" x14ac:dyDescent="0.25">
      <c r="A23" s="5" t="s">
        <v>39</v>
      </c>
      <c r="B23" t="s">
        <v>34</v>
      </c>
      <c r="C23" t="s">
        <v>35</v>
      </c>
      <c r="D23" s="5" t="s">
        <v>168</v>
      </c>
      <c r="F23" t="s">
        <v>9</v>
      </c>
      <c r="G23" s="5" t="s">
        <v>230</v>
      </c>
      <c r="H23" t="s">
        <v>209</v>
      </c>
      <c r="J23" s="4" t="s">
        <v>172</v>
      </c>
      <c r="K23" s="5"/>
    </row>
    <row r="24" spans="1:11" ht="90" x14ac:dyDescent="0.25">
      <c r="A24" s="5" t="s">
        <v>39</v>
      </c>
      <c r="B24" t="s">
        <v>42</v>
      </c>
      <c r="C24" t="s">
        <v>41</v>
      </c>
      <c r="D24" s="5" t="s">
        <v>41</v>
      </c>
      <c r="F24" t="s">
        <v>9</v>
      </c>
      <c r="G24" s="6" t="s">
        <v>245</v>
      </c>
      <c r="J24" s="4" t="s">
        <v>172</v>
      </c>
      <c r="K24" s="5"/>
    </row>
    <row r="25" spans="1:11" ht="45" x14ac:dyDescent="0.25">
      <c r="A25" s="5" t="s">
        <v>33</v>
      </c>
      <c r="B25" t="s">
        <v>34</v>
      </c>
      <c r="C25" t="s">
        <v>35</v>
      </c>
      <c r="D25" s="5" t="s">
        <v>168</v>
      </c>
      <c r="F25" t="s">
        <v>9</v>
      </c>
      <c r="G25" s="5" t="s">
        <v>231</v>
      </c>
      <c r="H25" t="s">
        <v>209</v>
      </c>
      <c r="J25" s="4" t="s">
        <v>172</v>
      </c>
      <c r="K25" s="5"/>
    </row>
    <row r="26" spans="1:11" ht="45" x14ac:dyDescent="0.25">
      <c r="A26" s="5" t="s">
        <v>33</v>
      </c>
      <c r="B26" t="s">
        <v>38</v>
      </c>
      <c r="C26" t="s">
        <v>58</v>
      </c>
      <c r="D26" s="5" t="s">
        <v>58</v>
      </c>
      <c r="F26" t="s">
        <v>7</v>
      </c>
      <c r="G26" s="5" t="s">
        <v>286</v>
      </c>
      <c r="H26" t="s">
        <v>174</v>
      </c>
      <c r="J26" s="4" t="s">
        <v>172</v>
      </c>
      <c r="K26" s="5"/>
    </row>
    <row r="27" spans="1:11" ht="45" x14ac:dyDescent="0.25">
      <c r="A27" s="5" t="s">
        <v>36</v>
      </c>
      <c r="B27" t="s">
        <v>34</v>
      </c>
      <c r="C27" t="s">
        <v>35</v>
      </c>
      <c r="D27" s="5" t="s">
        <v>36</v>
      </c>
      <c r="F27" t="s">
        <v>9</v>
      </c>
      <c r="G27" s="5" t="s">
        <v>232</v>
      </c>
      <c r="H27" t="s">
        <v>209</v>
      </c>
      <c r="J27" s="4" t="s">
        <v>172</v>
      </c>
      <c r="K27" s="5"/>
    </row>
    <row r="28" spans="1:11" ht="90" x14ac:dyDescent="0.25">
      <c r="A28" s="5" t="s">
        <v>36</v>
      </c>
      <c r="B28" t="s">
        <v>42</v>
      </c>
      <c r="C28" t="s">
        <v>35</v>
      </c>
      <c r="D28" s="5" t="s">
        <v>36</v>
      </c>
      <c r="F28" t="s">
        <v>9</v>
      </c>
      <c r="G28" s="6" t="s">
        <v>245</v>
      </c>
      <c r="J28" s="4"/>
      <c r="K28" s="5"/>
    </row>
    <row r="29" spans="1:11" ht="60" x14ac:dyDescent="0.25">
      <c r="A29" s="5" t="s">
        <v>121</v>
      </c>
      <c r="B29" t="s">
        <v>34</v>
      </c>
      <c r="C29" t="s">
        <v>35</v>
      </c>
      <c r="D29" s="5" t="s">
        <v>35</v>
      </c>
      <c r="F29" t="s">
        <v>9</v>
      </c>
      <c r="G29" s="5" t="s">
        <v>233</v>
      </c>
      <c r="J29" s="4" t="s">
        <v>172</v>
      </c>
      <c r="K29" s="5"/>
    </row>
    <row r="30" spans="1:11" ht="45" x14ac:dyDescent="0.25">
      <c r="A30" s="5" t="s">
        <v>121</v>
      </c>
      <c r="B30" t="s">
        <v>38</v>
      </c>
      <c r="D30" s="5"/>
      <c r="F30" t="s">
        <v>7</v>
      </c>
      <c r="G30" s="5" t="s">
        <v>289</v>
      </c>
      <c r="J30" s="4" t="s">
        <v>172</v>
      </c>
      <c r="K30" s="5" t="s">
        <v>290</v>
      </c>
    </row>
    <row r="31" spans="1:11" ht="45" x14ac:dyDescent="0.25">
      <c r="A31" s="5" t="s">
        <v>151</v>
      </c>
      <c r="B31" t="s">
        <v>23</v>
      </c>
      <c r="C31" t="s">
        <v>151</v>
      </c>
      <c r="D31" s="5" t="s">
        <v>151</v>
      </c>
      <c r="F31" t="s">
        <v>7</v>
      </c>
      <c r="G31" s="5" t="s">
        <v>265</v>
      </c>
      <c r="I31" t="s">
        <v>307</v>
      </c>
      <c r="J31" s="4" t="s">
        <v>172</v>
      </c>
      <c r="K31" s="5"/>
    </row>
    <row r="32" spans="1:11" x14ac:dyDescent="0.25">
      <c r="A32" t="s">
        <v>152</v>
      </c>
      <c r="B32" t="s">
        <v>23</v>
      </c>
      <c r="C32" t="s">
        <v>152</v>
      </c>
      <c r="D32" t="s">
        <v>152</v>
      </c>
      <c r="F32" t="s">
        <v>7</v>
      </c>
      <c r="I32" t="s">
        <v>307</v>
      </c>
    </row>
    <row r="33" spans="1:11" ht="45" x14ac:dyDescent="0.25">
      <c r="A33" t="s">
        <v>328</v>
      </c>
      <c r="B33" t="s">
        <v>23</v>
      </c>
      <c r="C33" t="s">
        <v>334</v>
      </c>
      <c r="D33" t="s">
        <v>334</v>
      </c>
      <c r="F33" t="s">
        <v>7</v>
      </c>
      <c r="G33" s="5" t="s">
        <v>266</v>
      </c>
      <c r="I33" t="s">
        <v>307</v>
      </c>
      <c r="J33" s="4" t="s">
        <v>172</v>
      </c>
      <c r="K33" s="5"/>
    </row>
    <row r="34" spans="1:11" x14ac:dyDescent="0.25">
      <c r="A34" t="s">
        <v>335</v>
      </c>
      <c r="B34" s="3" t="s">
        <v>23</v>
      </c>
      <c r="C34" t="s">
        <v>333</v>
      </c>
      <c r="D34" t="s">
        <v>333</v>
      </c>
      <c r="F34" t="s">
        <v>7</v>
      </c>
      <c r="I34" t="s">
        <v>307</v>
      </c>
    </row>
    <row r="35" spans="1:11" x14ac:dyDescent="0.25">
      <c r="A35" t="s">
        <v>336</v>
      </c>
      <c r="B35" t="s">
        <v>23</v>
      </c>
      <c r="C35" t="s">
        <v>336</v>
      </c>
      <c r="D35" t="s">
        <v>336</v>
      </c>
      <c r="F35" t="s">
        <v>7</v>
      </c>
      <c r="I35" t="s">
        <v>307</v>
      </c>
    </row>
    <row r="36" spans="1:11" x14ac:dyDescent="0.25">
      <c r="A36" s="6" t="s">
        <v>332</v>
      </c>
      <c r="B36" s="3" t="s">
        <v>23</v>
      </c>
      <c r="C36" t="s">
        <v>332</v>
      </c>
      <c r="D36" s="5" t="s">
        <v>332</v>
      </c>
      <c r="F36" t="s">
        <v>7</v>
      </c>
      <c r="I36" t="s">
        <v>307</v>
      </c>
    </row>
    <row r="37" spans="1:11" x14ac:dyDescent="0.25">
      <c r="A37" t="s">
        <v>337</v>
      </c>
      <c r="B37" t="s">
        <v>23</v>
      </c>
      <c r="C37" t="s">
        <v>337</v>
      </c>
      <c r="D37" t="s">
        <v>337</v>
      </c>
      <c r="F37" t="s">
        <v>7</v>
      </c>
      <c r="I37" t="s">
        <v>307</v>
      </c>
    </row>
    <row r="38" spans="1:11" ht="60" x14ac:dyDescent="0.25">
      <c r="A38" s="3" t="s">
        <v>331</v>
      </c>
      <c r="B38" s="3" t="s">
        <v>23</v>
      </c>
      <c r="C38" s="3" t="s">
        <v>125</v>
      </c>
      <c r="D38" s="7" t="s">
        <v>125</v>
      </c>
      <c r="F38" t="s">
        <v>7</v>
      </c>
      <c r="G38" s="7" t="s">
        <v>271</v>
      </c>
      <c r="H38" s="3"/>
      <c r="I38" t="s">
        <v>307</v>
      </c>
      <c r="J38" s="3"/>
      <c r="K38" s="7"/>
    </row>
    <row r="39" spans="1:11" ht="45" x14ac:dyDescent="0.25">
      <c r="A39" s="5" t="s">
        <v>329</v>
      </c>
      <c r="B39" t="s">
        <v>23</v>
      </c>
      <c r="C39" t="s">
        <v>153</v>
      </c>
      <c r="D39" s="5" t="s">
        <v>153</v>
      </c>
      <c r="F39" t="s">
        <v>7</v>
      </c>
      <c r="G39" s="5" t="s">
        <v>267</v>
      </c>
      <c r="I39" t="s">
        <v>307</v>
      </c>
      <c r="J39" s="4" t="s">
        <v>268</v>
      </c>
      <c r="K39" s="5"/>
    </row>
    <row r="40" spans="1:11" ht="45" x14ac:dyDescent="0.25">
      <c r="A40" s="5" t="s">
        <v>330</v>
      </c>
      <c r="B40" t="s">
        <v>23</v>
      </c>
      <c r="C40" t="s">
        <v>154</v>
      </c>
      <c r="D40" s="5" t="s">
        <v>154</v>
      </c>
      <c r="F40" t="s">
        <v>7</v>
      </c>
      <c r="G40" s="5" t="s">
        <v>269</v>
      </c>
      <c r="I40" t="s">
        <v>307</v>
      </c>
      <c r="J40" s="4" t="s">
        <v>270</v>
      </c>
      <c r="K40" s="5"/>
    </row>
    <row r="41" spans="1:11" x14ac:dyDescent="0.25">
      <c r="A41" s="5" t="s">
        <v>294</v>
      </c>
      <c r="B41" s="12" t="s">
        <v>6</v>
      </c>
      <c r="F41" t="s">
        <v>9</v>
      </c>
    </row>
    <row r="42" spans="1:11" x14ac:dyDescent="0.25">
      <c r="A42" s="5" t="s">
        <v>294</v>
      </c>
      <c r="B42" s="12" t="s">
        <v>34</v>
      </c>
      <c r="F42" t="s">
        <v>7</v>
      </c>
    </row>
    <row r="43" spans="1:11" x14ac:dyDescent="0.25">
      <c r="A43" s="5" t="s">
        <v>294</v>
      </c>
      <c r="B43" s="12" t="s">
        <v>40</v>
      </c>
      <c r="F43" t="s">
        <v>9</v>
      </c>
    </row>
    <row r="44" spans="1:11" x14ac:dyDescent="0.25">
      <c r="A44" s="5" t="s">
        <v>294</v>
      </c>
      <c r="B44" s="12" t="s">
        <v>15</v>
      </c>
      <c r="F44" t="s">
        <v>9</v>
      </c>
    </row>
    <row r="45" spans="1:11" x14ac:dyDescent="0.25">
      <c r="A45" s="5" t="s">
        <v>294</v>
      </c>
      <c r="B45" s="12" t="s">
        <v>42</v>
      </c>
      <c r="F45" t="s">
        <v>7</v>
      </c>
    </row>
    <row r="46" spans="1:11" x14ac:dyDescent="0.25">
      <c r="A46" s="5" t="s">
        <v>294</v>
      </c>
      <c r="B46" s="12" t="s">
        <v>30</v>
      </c>
      <c r="F46" t="s">
        <v>7</v>
      </c>
    </row>
    <row r="47" spans="1:11" x14ac:dyDescent="0.25">
      <c r="A47" s="5" t="s">
        <v>294</v>
      </c>
      <c r="B47" s="12" t="s">
        <v>10</v>
      </c>
      <c r="F47" t="s">
        <v>9</v>
      </c>
    </row>
    <row r="48" spans="1:11" x14ac:dyDescent="0.25">
      <c r="A48" s="5" t="s">
        <v>294</v>
      </c>
      <c r="B48" s="12" t="s">
        <v>23</v>
      </c>
      <c r="F48" t="s">
        <v>7</v>
      </c>
    </row>
    <row r="49" spans="1:11" x14ac:dyDescent="0.25">
      <c r="A49" s="5" t="s">
        <v>294</v>
      </c>
      <c r="B49" s="12" t="s">
        <v>43</v>
      </c>
      <c r="F49" t="s">
        <v>7</v>
      </c>
    </row>
    <row r="50" spans="1:11" x14ac:dyDescent="0.25">
      <c r="A50" s="5" t="s">
        <v>294</v>
      </c>
      <c r="B50" t="s">
        <v>321</v>
      </c>
      <c r="F50" t="s">
        <v>7</v>
      </c>
    </row>
    <row r="51" spans="1:11" x14ac:dyDescent="0.25">
      <c r="A51" s="5" t="s">
        <v>294</v>
      </c>
      <c r="B51" s="12" t="s">
        <v>45</v>
      </c>
      <c r="F51" t="s">
        <v>7</v>
      </c>
    </row>
    <row r="52" spans="1:11" x14ac:dyDescent="0.25">
      <c r="A52" s="5" t="s">
        <v>294</v>
      </c>
      <c r="B52" s="12" t="s">
        <v>46</v>
      </c>
      <c r="F52" t="s">
        <v>7</v>
      </c>
    </row>
    <row r="53" spans="1:11" x14ac:dyDescent="0.25">
      <c r="A53" s="5" t="s">
        <v>294</v>
      </c>
      <c r="B53" s="12" t="s">
        <v>38</v>
      </c>
      <c r="F53" t="s">
        <v>7</v>
      </c>
    </row>
    <row r="54" spans="1:11" ht="60" x14ac:dyDescent="0.25">
      <c r="A54" s="5" t="s">
        <v>37</v>
      </c>
      <c r="B54" t="s">
        <v>34</v>
      </c>
      <c r="C54" t="s">
        <v>35</v>
      </c>
      <c r="D54" s="5" t="s">
        <v>36</v>
      </c>
      <c r="F54" t="s">
        <v>9</v>
      </c>
      <c r="G54" s="5" t="s">
        <v>234</v>
      </c>
      <c r="J54" s="4"/>
      <c r="K54" s="5" t="s">
        <v>235</v>
      </c>
    </row>
    <row r="55" spans="1:11" ht="45" x14ac:dyDescent="0.25">
      <c r="A55" s="5" t="s">
        <v>37</v>
      </c>
      <c r="B55" t="s">
        <v>43</v>
      </c>
      <c r="C55" t="s">
        <v>44</v>
      </c>
      <c r="D55" s="5" t="s">
        <v>44</v>
      </c>
      <c r="F55" t="s">
        <v>7</v>
      </c>
      <c r="G55" s="5" t="s">
        <v>281</v>
      </c>
      <c r="J55" s="4" t="s">
        <v>172</v>
      </c>
      <c r="K55" s="5"/>
    </row>
    <row r="56" spans="1:11" ht="45" x14ac:dyDescent="0.25">
      <c r="A56" s="5" t="s">
        <v>51</v>
      </c>
      <c r="B56" t="s">
        <v>23</v>
      </c>
      <c r="C56" t="s">
        <v>155</v>
      </c>
      <c r="D56" s="5" t="s">
        <v>155</v>
      </c>
      <c r="F56" t="s">
        <v>7</v>
      </c>
      <c r="G56" s="5" t="s">
        <v>272</v>
      </c>
      <c r="I56" t="s">
        <v>307</v>
      </c>
      <c r="J56" s="4"/>
      <c r="K56" s="5"/>
    </row>
    <row r="57" spans="1:11" ht="75" x14ac:dyDescent="0.25">
      <c r="A57" s="6" t="s">
        <v>52</v>
      </c>
      <c r="B57" s="4" t="s">
        <v>10</v>
      </c>
      <c r="C57" t="s">
        <v>156</v>
      </c>
      <c r="D57" s="5" t="s">
        <v>156</v>
      </c>
      <c r="F57" t="s">
        <v>9</v>
      </c>
      <c r="G57" s="6" t="s">
        <v>250</v>
      </c>
      <c r="H57" s="4"/>
      <c r="I57" s="4"/>
      <c r="J57" s="4" t="s">
        <v>172</v>
      </c>
      <c r="K57" s="6"/>
    </row>
    <row r="58" spans="1:11" ht="75" x14ac:dyDescent="0.25">
      <c r="A58" s="5" t="s">
        <v>52</v>
      </c>
      <c r="B58" t="s">
        <v>23</v>
      </c>
      <c r="C58" t="s">
        <v>156</v>
      </c>
      <c r="D58" s="5" t="s">
        <v>156</v>
      </c>
      <c r="F58" t="s">
        <v>7</v>
      </c>
      <c r="G58" s="6" t="s">
        <v>250</v>
      </c>
      <c r="H58" s="8"/>
      <c r="I58" s="8"/>
      <c r="J58" s="9" t="s">
        <v>172</v>
      </c>
      <c r="K58" s="10"/>
    </row>
    <row r="59" spans="1:11" ht="45" x14ac:dyDescent="0.25">
      <c r="A59" t="s">
        <v>49</v>
      </c>
      <c r="B59" t="s">
        <v>6</v>
      </c>
      <c r="C59" t="s">
        <v>131</v>
      </c>
      <c r="D59" s="5" t="s">
        <v>49</v>
      </c>
      <c r="F59" t="s">
        <v>9</v>
      </c>
      <c r="G59" s="5" t="s">
        <v>171</v>
      </c>
      <c r="J59" s="4" t="s">
        <v>172</v>
      </c>
      <c r="K59" s="5"/>
    </row>
    <row r="60" spans="1:11" ht="60" x14ac:dyDescent="0.25">
      <c r="A60" s="3" t="s">
        <v>63</v>
      </c>
      <c r="B60" s="3" t="s">
        <v>6</v>
      </c>
      <c r="C60" s="3" t="s">
        <v>63</v>
      </c>
      <c r="D60" s="7" t="s">
        <v>63</v>
      </c>
      <c r="F60" s="3" t="s">
        <v>9</v>
      </c>
      <c r="G60" s="7" t="s">
        <v>173</v>
      </c>
      <c r="H60" s="3"/>
      <c r="I60" s="3"/>
      <c r="J60" s="3" t="s">
        <v>172</v>
      </c>
      <c r="K60" s="7"/>
    </row>
    <row r="61" spans="1:11" ht="60" x14ac:dyDescent="0.25">
      <c r="A61" s="3" t="s">
        <v>65</v>
      </c>
      <c r="B61" s="3" t="s">
        <v>6</v>
      </c>
      <c r="C61" s="3" t="s">
        <v>65</v>
      </c>
      <c r="D61" s="7" t="s">
        <v>65</v>
      </c>
      <c r="F61" s="3" t="s">
        <v>9</v>
      </c>
      <c r="G61" s="7" t="s">
        <v>175</v>
      </c>
      <c r="H61" s="3"/>
      <c r="I61" s="3"/>
      <c r="J61" s="3" t="s">
        <v>172</v>
      </c>
      <c r="K61" s="7"/>
    </row>
    <row r="62" spans="1:11" ht="60" x14ac:dyDescent="0.25">
      <c r="A62" s="3" t="s">
        <v>67</v>
      </c>
      <c r="B62" s="3" t="s">
        <v>6</v>
      </c>
      <c r="C62" s="3" t="s">
        <v>67</v>
      </c>
      <c r="D62" s="7" t="s">
        <v>67</v>
      </c>
      <c r="F62" s="3" t="s">
        <v>9</v>
      </c>
      <c r="G62" s="7" t="s">
        <v>176</v>
      </c>
      <c r="H62" s="3"/>
      <c r="I62" s="3"/>
      <c r="J62" s="3" t="s">
        <v>172</v>
      </c>
      <c r="K62" s="7"/>
    </row>
    <row r="63" spans="1:11" ht="75" x14ac:dyDescent="0.25">
      <c r="A63" s="3" t="s">
        <v>68</v>
      </c>
      <c r="B63" s="3" t="s">
        <v>6</v>
      </c>
      <c r="C63" s="3" t="s">
        <v>68</v>
      </c>
      <c r="D63" s="7" t="s">
        <v>68</v>
      </c>
      <c r="F63" t="s">
        <v>9</v>
      </c>
      <c r="G63" s="7" t="s">
        <v>177</v>
      </c>
      <c r="H63" s="3"/>
      <c r="I63" s="3"/>
      <c r="J63" s="3" t="s">
        <v>172</v>
      </c>
      <c r="K63" s="7"/>
    </row>
    <row r="64" spans="1:11" ht="45" x14ac:dyDescent="0.25">
      <c r="A64" s="3" t="s">
        <v>69</v>
      </c>
      <c r="B64" s="3" t="s">
        <v>6</v>
      </c>
      <c r="C64" s="3" t="s">
        <v>132</v>
      </c>
      <c r="D64" s="7" t="s">
        <v>69</v>
      </c>
      <c r="F64" t="s">
        <v>9</v>
      </c>
      <c r="G64" s="7" t="s">
        <v>178</v>
      </c>
      <c r="H64" s="3"/>
      <c r="I64" s="3"/>
      <c r="J64" s="3" t="s">
        <v>172</v>
      </c>
      <c r="K64" s="7"/>
    </row>
    <row r="65" spans="1:11" ht="30" x14ac:dyDescent="0.25">
      <c r="A65" t="s">
        <v>11</v>
      </c>
      <c r="B65" t="s">
        <v>6</v>
      </c>
      <c r="C65" t="s">
        <v>11</v>
      </c>
      <c r="D65" s="5" t="s">
        <v>11</v>
      </c>
      <c r="F65" t="s">
        <v>9</v>
      </c>
      <c r="G65" s="5" t="s">
        <v>179</v>
      </c>
      <c r="J65" s="4" t="s">
        <v>172</v>
      </c>
      <c r="K65" s="5"/>
    </row>
    <row r="66" spans="1:11" ht="60" x14ac:dyDescent="0.25">
      <c r="A66" t="s">
        <v>12</v>
      </c>
      <c r="B66" t="s">
        <v>6</v>
      </c>
      <c r="C66" t="s">
        <v>11</v>
      </c>
      <c r="D66" s="5" t="s">
        <v>12</v>
      </c>
      <c r="F66" t="s">
        <v>9</v>
      </c>
      <c r="G66" s="5" t="s">
        <v>180</v>
      </c>
      <c r="J66" s="4" t="s">
        <v>172</v>
      </c>
      <c r="K66" s="5"/>
    </row>
    <row r="67" spans="1:11" ht="45" x14ac:dyDescent="0.25">
      <c r="A67" t="s">
        <v>59</v>
      </c>
      <c r="B67" t="s">
        <v>6</v>
      </c>
      <c r="C67" t="s">
        <v>133</v>
      </c>
      <c r="D67" s="5" t="s">
        <v>59</v>
      </c>
      <c r="F67" t="s">
        <v>9</v>
      </c>
      <c r="G67" s="5" t="s">
        <v>181</v>
      </c>
      <c r="J67" s="4" t="s">
        <v>172</v>
      </c>
      <c r="K67" s="5"/>
    </row>
    <row r="68" spans="1:11" ht="75" x14ac:dyDescent="0.25">
      <c r="A68" s="4" t="s">
        <v>70</v>
      </c>
      <c r="B68" t="s">
        <v>6</v>
      </c>
      <c r="C68" t="s">
        <v>11</v>
      </c>
      <c r="D68" s="6" t="s">
        <v>70</v>
      </c>
      <c r="F68" t="s">
        <v>9</v>
      </c>
      <c r="G68" s="6" t="s">
        <v>182</v>
      </c>
      <c r="H68" s="4"/>
      <c r="I68" s="4"/>
      <c r="J68" s="4"/>
      <c r="K68" s="6"/>
    </row>
    <row r="69" spans="1:11" ht="60" x14ac:dyDescent="0.25">
      <c r="A69" s="3" t="s">
        <v>71</v>
      </c>
      <c r="B69" s="3" t="s">
        <v>6</v>
      </c>
      <c r="C69" s="3" t="s">
        <v>71</v>
      </c>
      <c r="D69" s="7" t="s">
        <v>71</v>
      </c>
      <c r="F69" t="s">
        <v>9</v>
      </c>
      <c r="G69" s="7" t="s">
        <v>183</v>
      </c>
      <c r="H69" s="3"/>
      <c r="I69" s="3"/>
      <c r="J69" s="3"/>
      <c r="K69" s="7"/>
    </row>
    <row r="70" spans="1:11" ht="120" x14ac:dyDescent="0.25">
      <c r="A70" t="s">
        <v>16</v>
      </c>
      <c r="B70" t="s">
        <v>6</v>
      </c>
      <c r="C70" t="s">
        <v>16</v>
      </c>
      <c r="D70" s="5" t="s">
        <v>16</v>
      </c>
      <c r="F70" t="s">
        <v>9</v>
      </c>
      <c r="G70" s="5" t="s">
        <v>184</v>
      </c>
      <c r="J70" s="4" t="s">
        <v>172</v>
      </c>
      <c r="K70" s="5"/>
    </row>
    <row r="71" spans="1:11" ht="45" x14ac:dyDescent="0.25">
      <c r="A71" s="3" t="s">
        <v>17</v>
      </c>
      <c r="B71" s="3" t="s">
        <v>6</v>
      </c>
      <c r="C71" s="3" t="s">
        <v>17</v>
      </c>
      <c r="D71" s="7" t="s">
        <v>17</v>
      </c>
      <c r="F71" t="s">
        <v>9</v>
      </c>
      <c r="G71" s="7" t="s">
        <v>186</v>
      </c>
      <c r="H71" s="3"/>
      <c r="I71" s="3"/>
      <c r="J71" s="3" t="s">
        <v>172</v>
      </c>
      <c r="K71" s="7"/>
    </row>
    <row r="72" spans="1:11" ht="75" x14ac:dyDescent="0.25">
      <c r="A72" t="s">
        <v>60</v>
      </c>
      <c r="B72" t="s">
        <v>6</v>
      </c>
      <c r="C72" t="s">
        <v>134</v>
      </c>
      <c r="D72" s="5" t="s">
        <v>48</v>
      </c>
      <c r="F72" t="s">
        <v>9</v>
      </c>
      <c r="G72" s="5" t="s">
        <v>187</v>
      </c>
      <c r="J72" s="4" t="s">
        <v>172</v>
      </c>
      <c r="K72" s="5"/>
    </row>
    <row r="73" spans="1:11" ht="45" x14ac:dyDescent="0.25">
      <c r="A73" s="3" t="s">
        <v>73</v>
      </c>
      <c r="B73" s="3" t="s">
        <v>6</v>
      </c>
      <c r="C73" s="3" t="s">
        <v>73</v>
      </c>
      <c r="D73" s="7" t="s">
        <v>73</v>
      </c>
      <c r="F73" t="s">
        <v>9</v>
      </c>
      <c r="G73" s="7" t="s">
        <v>188</v>
      </c>
      <c r="H73" s="3"/>
      <c r="I73" t="s">
        <v>307</v>
      </c>
      <c r="J73" s="3" t="s">
        <v>172</v>
      </c>
      <c r="K73" s="7"/>
    </row>
    <row r="74" spans="1:11" ht="60" x14ac:dyDescent="0.25">
      <c r="A74" s="3" t="s">
        <v>74</v>
      </c>
      <c r="B74" s="3" t="s">
        <v>6</v>
      </c>
      <c r="C74" s="3" t="s">
        <v>74</v>
      </c>
      <c r="D74" s="7" t="s">
        <v>74</v>
      </c>
      <c r="F74" t="s">
        <v>9</v>
      </c>
      <c r="G74" s="7" t="s">
        <v>189</v>
      </c>
      <c r="H74" s="3"/>
      <c r="I74" t="s">
        <v>307</v>
      </c>
      <c r="J74" s="3" t="s">
        <v>172</v>
      </c>
      <c r="K74" s="7"/>
    </row>
    <row r="75" spans="1:11" ht="45" x14ac:dyDescent="0.25">
      <c r="A75" s="3" t="s">
        <v>75</v>
      </c>
      <c r="B75" s="3" t="s">
        <v>6</v>
      </c>
      <c r="C75" s="3" t="s">
        <v>75</v>
      </c>
      <c r="D75" s="7" t="s">
        <v>75</v>
      </c>
      <c r="F75" t="s">
        <v>9</v>
      </c>
      <c r="G75" s="7" t="s">
        <v>190</v>
      </c>
      <c r="H75" s="3"/>
      <c r="I75" t="s">
        <v>307</v>
      </c>
      <c r="J75" s="3" t="s">
        <v>172</v>
      </c>
      <c r="K75" s="7"/>
    </row>
    <row r="76" spans="1:11" ht="30" x14ac:dyDescent="0.25">
      <c r="A76" s="3" t="s">
        <v>607</v>
      </c>
      <c r="B76" s="3" t="s">
        <v>6</v>
      </c>
      <c r="C76" s="3" t="s">
        <v>607</v>
      </c>
      <c r="D76" s="7" t="s">
        <v>607</v>
      </c>
      <c r="F76" t="s">
        <v>9</v>
      </c>
      <c r="G76" s="7" t="s">
        <v>191</v>
      </c>
      <c r="H76" s="3"/>
      <c r="I76" t="s">
        <v>307</v>
      </c>
      <c r="J76" s="3" t="s">
        <v>172</v>
      </c>
      <c r="K76" s="7"/>
    </row>
    <row r="77" spans="1:11" x14ac:dyDescent="0.25">
      <c r="A77" s="3" t="s">
        <v>607</v>
      </c>
      <c r="B77" s="3" t="s">
        <v>6</v>
      </c>
      <c r="C77" s="3" t="s">
        <v>607</v>
      </c>
      <c r="D77" s="3" t="s">
        <v>607</v>
      </c>
      <c r="F77" t="s">
        <v>9</v>
      </c>
      <c r="I77" t="s">
        <v>307</v>
      </c>
    </row>
    <row r="78" spans="1:11" ht="30" x14ac:dyDescent="0.25">
      <c r="A78" s="3" t="s">
        <v>77</v>
      </c>
      <c r="B78" s="3" t="s">
        <v>6</v>
      </c>
      <c r="C78" s="3" t="s">
        <v>77</v>
      </c>
      <c r="D78" s="7" t="s">
        <v>77</v>
      </c>
      <c r="F78" t="s">
        <v>9</v>
      </c>
      <c r="G78" s="7" t="s">
        <v>192</v>
      </c>
      <c r="H78" s="3"/>
      <c r="I78" t="s">
        <v>307</v>
      </c>
      <c r="J78" s="3" t="s">
        <v>172</v>
      </c>
      <c r="K78" s="7"/>
    </row>
    <row r="79" spans="1:11" ht="30" x14ac:dyDescent="0.25">
      <c r="A79" t="s">
        <v>78</v>
      </c>
      <c r="B79" s="3" t="s">
        <v>6</v>
      </c>
      <c r="C79" t="s">
        <v>78</v>
      </c>
      <c r="D79" t="s">
        <v>78</v>
      </c>
      <c r="F79" t="s">
        <v>9</v>
      </c>
      <c r="G79" s="7" t="s">
        <v>193</v>
      </c>
      <c r="H79" s="3"/>
      <c r="I79" t="s">
        <v>307</v>
      </c>
      <c r="J79" s="3" t="s">
        <v>172</v>
      </c>
      <c r="K79" s="7"/>
    </row>
    <row r="80" spans="1:11" ht="60" x14ac:dyDescent="0.25">
      <c r="A80" s="3" t="s">
        <v>79</v>
      </c>
      <c r="B80" s="3" t="s">
        <v>6</v>
      </c>
      <c r="C80" s="3" t="s">
        <v>79</v>
      </c>
      <c r="D80" s="7" t="s">
        <v>79</v>
      </c>
      <c r="F80" t="s">
        <v>9</v>
      </c>
      <c r="G80" s="7" t="s">
        <v>194</v>
      </c>
      <c r="H80" s="3"/>
      <c r="I80" s="3"/>
      <c r="J80" s="3" t="s">
        <v>172</v>
      </c>
      <c r="K80" s="7"/>
    </row>
    <row r="81" spans="1:11" ht="45" x14ac:dyDescent="0.25">
      <c r="A81" s="3" t="s">
        <v>81</v>
      </c>
      <c r="B81" s="3" t="s">
        <v>6</v>
      </c>
      <c r="C81" s="3" t="s">
        <v>81</v>
      </c>
      <c r="D81" s="7" t="s">
        <v>81</v>
      </c>
      <c r="F81" t="s">
        <v>9</v>
      </c>
      <c r="G81" s="7" t="s">
        <v>196</v>
      </c>
      <c r="H81" s="3"/>
      <c r="I81" s="3"/>
      <c r="J81" s="3" t="s">
        <v>172</v>
      </c>
      <c r="K81" s="7"/>
    </row>
    <row r="82" spans="1:11" ht="60" x14ac:dyDescent="0.25">
      <c r="A82" s="3" t="s">
        <v>83</v>
      </c>
      <c r="B82" s="3" t="s">
        <v>6</v>
      </c>
      <c r="C82" s="3" t="s">
        <v>83</v>
      </c>
      <c r="D82" s="7" t="s">
        <v>83</v>
      </c>
      <c r="F82" t="s">
        <v>9</v>
      </c>
      <c r="G82" s="7" t="s">
        <v>198</v>
      </c>
      <c r="H82" s="3"/>
      <c r="I82" s="3"/>
      <c r="J82" s="3" t="s">
        <v>172</v>
      </c>
      <c r="K82" s="7"/>
    </row>
    <row r="83" spans="1:11" ht="75" x14ac:dyDescent="0.25">
      <c r="A83" s="3" t="s">
        <v>84</v>
      </c>
      <c r="B83" s="3" t="s">
        <v>6</v>
      </c>
      <c r="C83" s="3" t="s">
        <v>84</v>
      </c>
      <c r="D83" s="7" t="s">
        <v>84</v>
      </c>
      <c r="F83" t="s">
        <v>9</v>
      </c>
      <c r="G83" s="7" t="s">
        <v>199</v>
      </c>
      <c r="H83" s="3"/>
      <c r="I83" s="3"/>
      <c r="J83" s="3" t="s">
        <v>172</v>
      </c>
      <c r="K83" s="7"/>
    </row>
    <row r="84" spans="1:11" ht="45" x14ac:dyDescent="0.25">
      <c r="A84" s="7" t="s">
        <v>85</v>
      </c>
      <c r="B84" s="3" t="s">
        <v>6</v>
      </c>
      <c r="C84" s="3" t="s">
        <v>320</v>
      </c>
      <c r="D84" s="3" t="s">
        <v>320</v>
      </c>
      <c r="F84" t="s">
        <v>9</v>
      </c>
      <c r="G84" s="7" t="s">
        <v>200</v>
      </c>
      <c r="H84" s="3"/>
      <c r="I84" s="3"/>
      <c r="J84" s="3"/>
      <c r="K84" s="7"/>
    </row>
    <row r="85" spans="1:11" ht="135" x14ac:dyDescent="0.25">
      <c r="A85" t="s">
        <v>18</v>
      </c>
      <c r="B85" t="s">
        <v>6</v>
      </c>
      <c r="C85" s="5" t="s">
        <v>18</v>
      </c>
      <c r="D85" s="5" t="s">
        <v>18</v>
      </c>
      <c r="F85" t="s">
        <v>9</v>
      </c>
      <c r="G85" s="5" t="s">
        <v>201</v>
      </c>
      <c r="J85" s="4" t="s">
        <v>202</v>
      </c>
      <c r="K85" s="5"/>
    </row>
    <row r="86" spans="1:11" ht="60" x14ac:dyDescent="0.25">
      <c r="A86" t="s">
        <v>19</v>
      </c>
      <c r="B86" t="s">
        <v>6</v>
      </c>
      <c r="C86" t="s">
        <v>19</v>
      </c>
      <c r="D86" s="5" t="s">
        <v>19</v>
      </c>
      <c r="F86" t="s">
        <v>9</v>
      </c>
      <c r="G86" s="5" t="s">
        <v>203</v>
      </c>
      <c r="J86" s="4" t="s">
        <v>172</v>
      </c>
      <c r="K86" s="5"/>
    </row>
    <row r="87" spans="1:11" ht="45" x14ac:dyDescent="0.25">
      <c r="A87" t="s">
        <v>62</v>
      </c>
      <c r="B87" t="s">
        <v>6</v>
      </c>
      <c r="C87" t="s">
        <v>136</v>
      </c>
      <c r="D87" s="5" t="s">
        <v>167</v>
      </c>
      <c r="F87" t="s">
        <v>9</v>
      </c>
      <c r="G87" s="5" t="s">
        <v>204</v>
      </c>
      <c r="J87" s="4" t="s">
        <v>172</v>
      </c>
      <c r="K87" s="5"/>
    </row>
    <row r="88" spans="1:11" ht="45" x14ac:dyDescent="0.25">
      <c r="A88" s="3" t="s">
        <v>86</v>
      </c>
      <c r="B88" s="3" t="s">
        <v>6</v>
      </c>
      <c r="C88" s="3" t="s">
        <v>86</v>
      </c>
      <c r="D88" s="7" t="s">
        <v>86</v>
      </c>
      <c r="F88" t="s">
        <v>9</v>
      </c>
      <c r="G88" s="7" t="s">
        <v>205</v>
      </c>
      <c r="H88" s="3"/>
      <c r="I88" s="3"/>
      <c r="J88" s="3"/>
      <c r="K88" s="7"/>
    </row>
    <row r="89" spans="1:11" ht="30" x14ac:dyDescent="0.25">
      <c r="A89" s="4" t="s">
        <v>61</v>
      </c>
      <c r="B89" t="s">
        <v>6</v>
      </c>
      <c r="C89" t="s">
        <v>11</v>
      </c>
      <c r="D89" s="5" t="s">
        <v>11</v>
      </c>
      <c r="F89" t="s">
        <v>9</v>
      </c>
      <c r="G89" s="5" t="s">
        <v>206</v>
      </c>
      <c r="J89" s="4" t="s">
        <v>172</v>
      </c>
      <c r="K89" s="5"/>
    </row>
    <row r="90" spans="1:11" ht="60" x14ac:dyDescent="0.25">
      <c r="A90" s="3" t="s">
        <v>91</v>
      </c>
      <c r="B90" s="3" t="s">
        <v>6</v>
      </c>
      <c r="C90" s="3" t="s">
        <v>91</v>
      </c>
      <c r="D90" s="7" t="s">
        <v>91</v>
      </c>
      <c r="F90" t="s">
        <v>9</v>
      </c>
      <c r="G90" s="7" t="s">
        <v>212</v>
      </c>
      <c r="H90" s="3"/>
      <c r="I90" s="3"/>
      <c r="J90" s="3" t="s">
        <v>172</v>
      </c>
      <c r="K90" s="7"/>
    </row>
    <row r="91" spans="1:11" ht="45" x14ac:dyDescent="0.25">
      <c r="A91" s="3" t="s">
        <v>87</v>
      </c>
      <c r="B91" s="3" t="s">
        <v>6</v>
      </c>
      <c r="C91" s="3" t="s">
        <v>87</v>
      </c>
      <c r="D91" s="7" t="s">
        <v>87</v>
      </c>
      <c r="F91" t="s">
        <v>9</v>
      </c>
      <c r="G91" s="7" t="s">
        <v>207</v>
      </c>
      <c r="H91" s="3"/>
      <c r="I91" s="3"/>
      <c r="J91" s="3" t="s">
        <v>172</v>
      </c>
      <c r="K91" s="7"/>
    </row>
    <row r="92" spans="1:11" ht="45" x14ac:dyDescent="0.25">
      <c r="A92" s="3" t="s">
        <v>89</v>
      </c>
      <c r="B92" s="3" t="s">
        <v>6</v>
      </c>
      <c r="C92" s="3" t="s">
        <v>89</v>
      </c>
      <c r="D92" s="7" t="s">
        <v>89</v>
      </c>
      <c r="F92" t="s">
        <v>9</v>
      </c>
      <c r="G92" s="7" t="s">
        <v>210</v>
      </c>
      <c r="H92" s="3"/>
      <c r="I92" s="3"/>
      <c r="J92" s="3" t="s">
        <v>172</v>
      </c>
      <c r="K92" s="7"/>
    </row>
    <row r="93" spans="1:11" ht="45" x14ac:dyDescent="0.25">
      <c r="A93" t="s">
        <v>20</v>
      </c>
      <c r="B93" t="s">
        <v>6</v>
      </c>
      <c r="C93" t="s">
        <v>21</v>
      </c>
      <c r="D93" s="5" t="s">
        <v>21</v>
      </c>
      <c r="F93" t="s">
        <v>9</v>
      </c>
      <c r="G93" s="5" t="s">
        <v>214</v>
      </c>
      <c r="J93" s="4" t="s">
        <v>172</v>
      </c>
      <c r="K93" s="5" t="s">
        <v>215</v>
      </c>
    </row>
    <row r="94" spans="1:11" ht="45" x14ac:dyDescent="0.25">
      <c r="A94" t="s">
        <v>22</v>
      </c>
      <c r="B94" t="s">
        <v>6</v>
      </c>
      <c r="C94" t="s">
        <v>22</v>
      </c>
      <c r="D94" s="5" t="s">
        <v>22</v>
      </c>
      <c r="F94" t="s">
        <v>9</v>
      </c>
      <c r="G94" s="5" t="s">
        <v>216</v>
      </c>
      <c r="J94" s="4" t="s">
        <v>172</v>
      </c>
      <c r="K94" s="5"/>
    </row>
    <row r="95" spans="1:11" x14ac:dyDescent="0.25">
      <c r="A95" s="3" t="s">
        <v>22</v>
      </c>
      <c r="B95" s="12" t="s">
        <v>6</v>
      </c>
      <c r="C95" s="7" t="s">
        <v>295</v>
      </c>
      <c r="D95" s="3" t="s">
        <v>295</v>
      </c>
      <c r="F95" t="s">
        <v>9</v>
      </c>
    </row>
    <row r="96" spans="1:11" ht="90" x14ac:dyDescent="0.25">
      <c r="A96" s="5" t="s">
        <v>122</v>
      </c>
      <c r="B96" t="s">
        <v>34</v>
      </c>
      <c r="C96" t="s">
        <v>35</v>
      </c>
      <c r="D96" s="5" t="s">
        <v>122</v>
      </c>
      <c r="F96" t="s">
        <v>9</v>
      </c>
      <c r="G96" s="5" t="s">
        <v>236</v>
      </c>
      <c r="J96" s="4" t="s">
        <v>172</v>
      </c>
      <c r="K96" s="5" t="s">
        <v>235</v>
      </c>
    </row>
    <row r="97" spans="1:11" ht="60" x14ac:dyDescent="0.25">
      <c r="A97" s="7" t="s">
        <v>129</v>
      </c>
      <c r="B97" s="3" t="s">
        <v>38</v>
      </c>
      <c r="C97" s="3" t="s">
        <v>163</v>
      </c>
      <c r="D97" s="7" t="s">
        <v>163</v>
      </c>
      <c r="F97" t="s">
        <v>7</v>
      </c>
      <c r="G97" s="7" t="s">
        <v>287</v>
      </c>
      <c r="H97" s="3" t="s">
        <v>174</v>
      </c>
      <c r="I97" s="3"/>
      <c r="J97" s="3" t="s">
        <v>172</v>
      </c>
      <c r="K97" s="7"/>
    </row>
    <row r="98" spans="1:11" x14ac:dyDescent="0.25">
      <c r="A98" s="7" t="s">
        <v>130</v>
      </c>
      <c r="B98" s="3" t="s">
        <v>38</v>
      </c>
      <c r="C98" s="3" t="s">
        <v>164</v>
      </c>
      <c r="D98" s="7" t="s">
        <v>164</v>
      </c>
      <c r="F98" t="s">
        <v>7</v>
      </c>
      <c r="G98" s="7"/>
      <c r="H98" s="3"/>
      <c r="I98" s="3"/>
      <c r="J98" s="3"/>
      <c r="K98" s="7"/>
    </row>
    <row r="99" spans="1:11" ht="30" x14ac:dyDescent="0.25">
      <c r="A99" s="5" t="s">
        <v>53</v>
      </c>
      <c r="B99" t="s">
        <v>34</v>
      </c>
      <c r="C99" t="s">
        <v>41</v>
      </c>
      <c r="D99" s="5" t="s">
        <v>165</v>
      </c>
      <c r="F99" t="s">
        <v>9</v>
      </c>
      <c r="G99" s="5" t="s">
        <v>237</v>
      </c>
      <c r="J99" s="4"/>
      <c r="K99" s="5"/>
    </row>
    <row r="100" spans="1:11" ht="75" x14ac:dyDescent="0.25">
      <c r="A100" s="6" t="s">
        <v>53</v>
      </c>
      <c r="B100" s="4" t="s">
        <v>23</v>
      </c>
      <c r="C100" s="4" t="s">
        <v>165</v>
      </c>
      <c r="D100" s="6" t="s">
        <v>165</v>
      </c>
      <c r="F100" t="s">
        <v>7</v>
      </c>
      <c r="G100" s="6" t="s">
        <v>288</v>
      </c>
      <c r="H100" s="4"/>
      <c r="I100" s="4"/>
      <c r="J100" s="4" t="s">
        <v>172</v>
      </c>
      <c r="K100" s="6"/>
    </row>
    <row r="101" spans="1:11" ht="75" x14ac:dyDescent="0.25">
      <c r="A101" s="6" t="s">
        <v>53</v>
      </c>
      <c r="B101" s="4" t="s">
        <v>38</v>
      </c>
      <c r="C101" s="4" t="s">
        <v>165</v>
      </c>
      <c r="D101" s="6" t="s">
        <v>165</v>
      </c>
      <c r="F101" t="s">
        <v>7</v>
      </c>
      <c r="G101" s="6" t="s">
        <v>288</v>
      </c>
      <c r="H101" s="4"/>
      <c r="I101" s="4"/>
      <c r="J101" s="4" t="s">
        <v>172</v>
      </c>
      <c r="K101" s="6"/>
    </row>
    <row r="102" spans="1:11" ht="60" x14ac:dyDescent="0.25">
      <c r="A102" t="s">
        <v>13</v>
      </c>
      <c r="B102" t="s">
        <v>6</v>
      </c>
      <c r="C102" t="s">
        <v>14</v>
      </c>
      <c r="D102" s="5" t="s">
        <v>14</v>
      </c>
      <c r="F102" t="s">
        <v>9</v>
      </c>
      <c r="G102" s="5" t="s">
        <v>217</v>
      </c>
      <c r="J102" s="4" t="s">
        <v>172</v>
      </c>
      <c r="K102" s="5"/>
    </row>
    <row r="103" spans="1:11" x14ac:dyDescent="0.25">
      <c r="A103" t="s">
        <v>13</v>
      </c>
      <c r="B103" t="s">
        <v>34</v>
      </c>
      <c r="C103" t="s">
        <v>41</v>
      </c>
      <c r="D103" s="5" t="s">
        <v>169</v>
      </c>
      <c r="F103" t="s">
        <v>9</v>
      </c>
      <c r="G103" s="5" t="s">
        <v>135</v>
      </c>
      <c r="J103" s="4" t="s">
        <v>172</v>
      </c>
      <c r="K103" s="5"/>
    </row>
    <row r="104" spans="1:11" x14ac:dyDescent="0.25">
      <c r="A104" t="s">
        <v>13</v>
      </c>
      <c r="B104" t="s">
        <v>40</v>
      </c>
      <c r="C104" t="s">
        <v>41</v>
      </c>
      <c r="D104" s="5" t="s">
        <v>41</v>
      </c>
      <c r="F104" t="s">
        <v>9</v>
      </c>
      <c r="G104" s="6" t="s">
        <v>135</v>
      </c>
      <c r="J104" s="4" t="s">
        <v>172</v>
      </c>
      <c r="K104" s="5"/>
    </row>
    <row r="105" spans="1:11" x14ac:dyDescent="0.25">
      <c r="A105" t="s">
        <v>13</v>
      </c>
      <c r="B105" t="s">
        <v>15</v>
      </c>
      <c r="C105" t="s">
        <v>41</v>
      </c>
      <c r="D105" s="5" t="s">
        <v>41</v>
      </c>
      <c r="F105" t="s">
        <v>9</v>
      </c>
      <c r="G105" s="6" t="s">
        <v>135</v>
      </c>
      <c r="J105" s="4" t="s">
        <v>172</v>
      </c>
      <c r="K105" s="5"/>
    </row>
    <row r="106" spans="1:11" x14ac:dyDescent="0.25">
      <c r="A106" t="s">
        <v>13</v>
      </c>
      <c r="B106" t="s">
        <v>42</v>
      </c>
      <c r="C106" t="s">
        <v>41</v>
      </c>
      <c r="D106" s="5" t="s">
        <v>41</v>
      </c>
      <c r="F106" t="s">
        <v>9</v>
      </c>
      <c r="G106" s="6" t="s">
        <v>135</v>
      </c>
      <c r="J106" s="4" t="s">
        <v>172</v>
      </c>
      <c r="K106" s="5"/>
    </row>
    <row r="107" spans="1:11" x14ac:dyDescent="0.25">
      <c r="A107" t="s">
        <v>13</v>
      </c>
      <c r="B107" t="s">
        <v>30</v>
      </c>
      <c r="C107" t="s">
        <v>144</v>
      </c>
      <c r="D107" s="5" t="s">
        <v>144</v>
      </c>
      <c r="F107" t="s">
        <v>9</v>
      </c>
      <c r="G107" s="6" t="s">
        <v>135</v>
      </c>
      <c r="J107" s="4" t="s">
        <v>172</v>
      </c>
      <c r="K107" s="5"/>
    </row>
    <row r="108" spans="1:11" x14ac:dyDescent="0.25">
      <c r="A108" t="s">
        <v>13</v>
      </c>
      <c r="B108" t="s">
        <v>10</v>
      </c>
      <c r="C108" t="s">
        <v>144</v>
      </c>
      <c r="D108" s="5" t="s">
        <v>144</v>
      </c>
      <c r="F108" t="s">
        <v>9</v>
      </c>
      <c r="G108" s="5" t="s">
        <v>135</v>
      </c>
      <c r="J108" s="4" t="s">
        <v>172</v>
      </c>
      <c r="K108" s="5"/>
    </row>
    <row r="109" spans="1:11" x14ac:dyDescent="0.25">
      <c r="A109" t="s">
        <v>13</v>
      </c>
      <c r="B109" t="s">
        <v>23</v>
      </c>
      <c r="C109" t="s">
        <v>144</v>
      </c>
      <c r="D109" s="5" t="s">
        <v>144</v>
      </c>
      <c r="F109" t="s">
        <v>7</v>
      </c>
      <c r="G109" s="5" t="s">
        <v>135</v>
      </c>
      <c r="J109" s="4" t="s">
        <v>172</v>
      </c>
      <c r="K109" s="5"/>
    </row>
    <row r="110" spans="1:11" x14ac:dyDescent="0.25">
      <c r="A110" t="s">
        <v>13</v>
      </c>
      <c r="B110" t="s">
        <v>43</v>
      </c>
      <c r="C110" t="s">
        <v>44</v>
      </c>
      <c r="D110" s="5" t="s">
        <v>44</v>
      </c>
      <c r="F110" t="s">
        <v>7</v>
      </c>
      <c r="G110" s="5" t="s">
        <v>135</v>
      </c>
      <c r="J110" s="4" t="s">
        <v>172</v>
      </c>
      <c r="K110" s="5"/>
    </row>
    <row r="111" spans="1:11" x14ac:dyDescent="0.25">
      <c r="A111" t="s">
        <v>13</v>
      </c>
      <c r="B111" t="s">
        <v>321</v>
      </c>
      <c r="C111" t="s">
        <v>44</v>
      </c>
      <c r="D111" s="5" t="s">
        <v>44</v>
      </c>
      <c r="F111" t="s">
        <v>7</v>
      </c>
      <c r="G111" s="5" t="s">
        <v>135</v>
      </c>
      <c r="J111" s="4" t="s">
        <v>172</v>
      </c>
      <c r="K111" s="5"/>
    </row>
    <row r="112" spans="1:11" x14ac:dyDescent="0.25">
      <c r="A112" t="s">
        <v>13</v>
      </c>
      <c r="B112" t="s">
        <v>45</v>
      </c>
      <c r="C112" t="s">
        <v>44</v>
      </c>
      <c r="D112" s="5" t="s">
        <v>44</v>
      </c>
      <c r="F112" t="s">
        <v>7</v>
      </c>
      <c r="G112" s="5" t="s">
        <v>135</v>
      </c>
      <c r="J112" s="4" t="s">
        <v>172</v>
      </c>
      <c r="K112" s="5"/>
    </row>
    <row r="113" spans="1:11" x14ac:dyDescent="0.25">
      <c r="A113" t="s">
        <v>13</v>
      </c>
      <c r="B113" t="s">
        <v>46</v>
      </c>
      <c r="C113" t="s">
        <v>44</v>
      </c>
      <c r="D113" s="5" t="s">
        <v>44</v>
      </c>
      <c r="F113" t="s">
        <v>7</v>
      </c>
      <c r="G113" s="5" t="s">
        <v>135</v>
      </c>
      <c r="J113" s="4" t="s">
        <v>172</v>
      </c>
      <c r="K113" s="5"/>
    </row>
    <row r="114" spans="1:11" x14ac:dyDescent="0.25">
      <c r="A114" t="s">
        <v>13</v>
      </c>
      <c r="B114" t="s">
        <v>38</v>
      </c>
      <c r="C114" t="s">
        <v>58</v>
      </c>
      <c r="D114" s="5" t="s">
        <v>58</v>
      </c>
      <c r="F114" t="s">
        <v>7</v>
      </c>
      <c r="G114" s="5" t="s">
        <v>135</v>
      </c>
      <c r="J114" s="4" t="s">
        <v>172</v>
      </c>
      <c r="K114" s="5"/>
    </row>
    <row r="115" spans="1:11" x14ac:dyDescent="0.25">
      <c r="A115" t="s">
        <v>298</v>
      </c>
      <c r="B115" s="12" t="s">
        <v>10</v>
      </c>
      <c r="C115" s="7" t="s">
        <v>299</v>
      </c>
      <c r="D115" s="3" t="s">
        <v>299</v>
      </c>
      <c r="F115" t="s">
        <v>9</v>
      </c>
      <c r="I115" t="s">
        <v>307</v>
      </c>
    </row>
    <row r="116" spans="1:11" x14ac:dyDescent="0.25">
      <c r="A116" t="s">
        <v>298</v>
      </c>
      <c r="B116" s="12" t="s">
        <v>23</v>
      </c>
      <c r="C116" s="7" t="s">
        <v>299</v>
      </c>
      <c r="D116" s="3" t="s">
        <v>299</v>
      </c>
      <c r="F116" t="s">
        <v>7</v>
      </c>
      <c r="I116" t="s">
        <v>307</v>
      </c>
    </row>
    <row r="117" spans="1:11" x14ac:dyDescent="0.25">
      <c r="A117" t="s">
        <v>315</v>
      </c>
      <c r="B117" s="12" t="s">
        <v>34</v>
      </c>
      <c r="C117" s="3" t="s">
        <v>157</v>
      </c>
      <c r="D117" s="3" t="s">
        <v>157</v>
      </c>
      <c r="F117" s="3" t="s">
        <v>7</v>
      </c>
      <c r="I117" t="s">
        <v>307</v>
      </c>
    </row>
    <row r="118" spans="1:11" ht="45" x14ac:dyDescent="0.25">
      <c r="A118" t="s">
        <v>315</v>
      </c>
      <c r="B118" s="3" t="s">
        <v>23</v>
      </c>
      <c r="C118" s="3" t="s">
        <v>157</v>
      </c>
      <c r="D118" s="7" t="s">
        <v>126</v>
      </c>
      <c r="F118" t="s">
        <v>7</v>
      </c>
      <c r="G118" s="7" t="s">
        <v>273</v>
      </c>
      <c r="H118" s="3"/>
      <c r="I118" t="s">
        <v>307</v>
      </c>
      <c r="J118" s="3" t="s">
        <v>172</v>
      </c>
      <c r="K118" s="7"/>
    </row>
    <row r="119" spans="1:11" ht="45" x14ac:dyDescent="0.25">
      <c r="A119" t="s">
        <v>315</v>
      </c>
      <c r="B119" s="3" t="s">
        <v>23</v>
      </c>
      <c r="C119" s="3" t="s">
        <v>157</v>
      </c>
      <c r="D119" s="7" t="s">
        <v>126</v>
      </c>
      <c r="F119" t="s">
        <v>7</v>
      </c>
      <c r="G119" s="7" t="s">
        <v>273</v>
      </c>
      <c r="H119" s="3"/>
      <c r="I119" t="s">
        <v>307</v>
      </c>
    </row>
    <row r="120" spans="1:11" ht="30" x14ac:dyDescent="0.25">
      <c r="A120" t="s">
        <v>317</v>
      </c>
      <c r="B120" s="3" t="s">
        <v>23</v>
      </c>
      <c r="C120" s="3" t="s">
        <v>127</v>
      </c>
      <c r="D120" s="7" t="s">
        <v>127</v>
      </c>
      <c r="F120" t="s">
        <v>7</v>
      </c>
      <c r="G120" s="7" t="s">
        <v>274</v>
      </c>
      <c r="H120" s="3" t="s">
        <v>275</v>
      </c>
      <c r="I120" t="s">
        <v>307</v>
      </c>
      <c r="J120" s="3" t="s">
        <v>172</v>
      </c>
      <c r="K120" s="7"/>
    </row>
    <row r="121" spans="1:11" x14ac:dyDescent="0.25">
      <c r="A121" s="17" t="s">
        <v>318</v>
      </c>
      <c r="B121" t="s">
        <v>23</v>
      </c>
      <c r="C121" t="s">
        <v>314</v>
      </c>
      <c r="D121" t="s">
        <v>314</v>
      </c>
      <c r="F121" t="s">
        <v>7</v>
      </c>
      <c r="I121" t="s">
        <v>307</v>
      </c>
    </row>
    <row r="122" spans="1:11" x14ac:dyDescent="0.25">
      <c r="A122" s="5" t="s">
        <v>303</v>
      </c>
      <c r="B122" s="12" t="s">
        <v>10</v>
      </c>
      <c r="C122" t="s">
        <v>302</v>
      </c>
      <c r="D122" s="5" t="s">
        <v>302</v>
      </c>
      <c r="F122" s="3" t="s">
        <v>9</v>
      </c>
    </row>
    <row r="123" spans="1:11" ht="90" x14ac:dyDescent="0.25">
      <c r="A123" s="5" t="s">
        <v>303</v>
      </c>
      <c r="B123" t="s">
        <v>23</v>
      </c>
      <c r="C123" t="s">
        <v>302</v>
      </c>
      <c r="D123" s="5" t="s">
        <v>302</v>
      </c>
      <c r="F123" t="s">
        <v>7</v>
      </c>
      <c r="G123" s="5" t="s">
        <v>251</v>
      </c>
      <c r="J123" s="4" t="s">
        <v>172</v>
      </c>
      <c r="K123" s="5"/>
    </row>
    <row r="124" spans="1:11" x14ac:dyDescent="0.25">
      <c r="A124" s="5" t="s">
        <v>303</v>
      </c>
      <c r="B124" s="3" t="s">
        <v>23</v>
      </c>
      <c r="C124" t="s">
        <v>302</v>
      </c>
      <c r="D124" s="5" t="s">
        <v>302</v>
      </c>
      <c r="F124" t="s">
        <v>7</v>
      </c>
    </row>
    <row r="125" spans="1:11" x14ac:dyDescent="0.25">
      <c r="A125" s="7" t="s">
        <v>324</v>
      </c>
      <c r="B125" s="3" t="s">
        <v>23</v>
      </c>
      <c r="C125" s="5" t="s">
        <v>302</v>
      </c>
      <c r="D125" s="7" t="s">
        <v>309</v>
      </c>
    </row>
    <row r="126" spans="1:11" x14ac:dyDescent="0.25">
      <c r="A126" s="7" t="s">
        <v>326</v>
      </c>
      <c r="B126" s="3" t="s">
        <v>23</v>
      </c>
      <c r="C126" s="5" t="s">
        <v>302</v>
      </c>
      <c r="D126" s="7" t="s">
        <v>308</v>
      </c>
    </row>
    <row r="127" spans="1:11" x14ac:dyDescent="0.25">
      <c r="A127" s="7" t="s">
        <v>325</v>
      </c>
      <c r="B127" s="3" t="s">
        <v>23</v>
      </c>
      <c r="C127" s="5" t="s">
        <v>302</v>
      </c>
      <c r="D127" s="7" t="s">
        <v>310</v>
      </c>
    </row>
    <row r="128" spans="1:11" x14ac:dyDescent="0.25">
      <c r="A128" s="7" t="s">
        <v>310</v>
      </c>
      <c r="B128" s="3" t="s">
        <v>23</v>
      </c>
      <c r="C128" s="5" t="s">
        <v>302</v>
      </c>
      <c r="D128" s="7" t="s">
        <v>310</v>
      </c>
      <c r="F128" t="s">
        <v>7</v>
      </c>
    </row>
    <row r="129" spans="1:11" x14ac:dyDescent="0.25">
      <c r="A129" s="7" t="s">
        <v>309</v>
      </c>
      <c r="B129" s="3" t="s">
        <v>23</v>
      </c>
      <c r="C129" s="5" t="s">
        <v>302</v>
      </c>
      <c r="D129" s="7" t="s">
        <v>309</v>
      </c>
      <c r="F129" t="s">
        <v>7</v>
      </c>
    </row>
    <row r="130" spans="1:11" x14ac:dyDescent="0.25">
      <c r="A130" s="7" t="s">
        <v>308</v>
      </c>
      <c r="B130" s="3" t="s">
        <v>23</v>
      </c>
      <c r="C130" s="5" t="s">
        <v>302</v>
      </c>
      <c r="D130" s="7" t="s">
        <v>308</v>
      </c>
      <c r="F130" t="s">
        <v>7</v>
      </c>
    </row>
    <row r="131" spans="1:11" ht="90" x14ac:dyDescent="0.25">
      <c r="A131" s="5" t="s">
        <v>24</v>
      </c>
      <c r="B131" t="s">
        <v>10</v>
      </c>
      <c r="C131" t="s">
        <v>144</v>
      </c>
      <c r="D131" s="5" t="s">
        <v>144</v>
      </c>
      <c r="F131" t="s">
        <v>9</v>
      </c>
      <c r="G131" s="5" t="s">
        <v>251</v>
      </c>
      <c r="H131" s="8"/>
      <c r="I131" s="8"/>
      <c r="J131" s="9" t="s">
        <v>172</v>
      </c>
      <c r="K131" s="10"/>
    </row>
    <row r="132" spans="1:11" ht="90" x14ac:dyDescent="0.25">
      <c r="A132" s="5" t="s">
        <v>24</v>
      </c>
      <c r="B132" t="s">
        <v>23</v>
      </c>
      <c r="C132" t="s">
        <v>144</v>
      </c>
      <c r="D132" s="5" t="s">
        <v>144</v>
      </c>
      <c r="F132" t="s">
        <v>9</v>
      </c>
      <c r="G132" s="5" t="s">
        <v>251</v>
      </c>
    </row>
    <row r="133" spans="1:11" ht="75" x14ac:dyDescent="0.25">
      <c r="A133" s="5" t="s">
        <v>8</v>
      </c>
      <c r="B133" t="s">
        <v>34</v>
      </c>
      <c r="C133" t="s">
        <v>35</v>
      </c>
      <c r="D133" s="5" t="s">
        <v>36</v>
      </c>
      <c r="F133" t="s">
        <v>9</v>
      </c>
      <c r="G133" s="5" t="s">
        <v>238</v>
      </c>
      <c r="J133" s="4" t="s">
        <v>172</v>
      </c>
      <c r="K133" s="5"/>
    </row>
    <row r="134" spans="1:11" ht="75" x14ac:dyDescent="0.25">
      <c r="A134" s="5" t="s">
        <v>123</v>
      </c>
      <c r="B134" t="s">
        <v>34</v>
      </c>
      <c r="C134" t="s">
        <v>35</v>
      </c>
      <c r="D134" s="5" t="s">
        <v>36</v>
      </c>
      <c r="F134" t="s">
        <v>9</v>
      </c>
      <c r="G134" s="5" t="s">
        <v>239</v>
      </c>
      <c r="J134" s="4" t="s">
        <v>172</v>
      </c>
      <c r="K134" s="5"/>
    </row>
    <row r="135" spans="1:11" x14ac:dyDescent="0.25">
      <c r="A135" s="3" t="s">
        <v>396</v>
      </c>
      <c r="B135" s="12" t="s">
        <v>34</v>
      </c>
      <c r="C135" s="3" t="s">
        <v>297</v>
      </c>
      <c r="D135" s="7" t="s">
        <v>296</v>
      </c>
      <c r="F135" t="s">
        <v>7</v>
      </c>
    </row>
    <row r="136" spans="1:11" x14ac:dyDescent="0.25">
      <c r="A136" s="3" t="s">
        <v>396</v>
      </c>
      <c r="B136" s="12" t="s">
        <v>40</v>
      </c>
      <c r="C136" s="3" t="s">
        <v>297</v>
      </c>
      <c r="D136" s="7" t="s">
        <v>296</v>
      </c>
      <c r="F136" t="s">
        <v>9</v>
      </c>
    </row>
    <row r="137" spans="1:11" x14ac:dyDescent="0.25">
      <c r="A137" s="3" t="s">
        <v>396</v>
      </c>
      <c r="B137" s="12" t="s">
        <v>15</v>
      </c>
      <c r="C137" s="3" t="s">
        <v>297</v>
      </c>
      <c r="D137" s="7" t="s">
        <v>296</v>
      </c>
      <c r="F137" t="s">
        <v>9</v>
      </c>
    </row>
    <row r="138" spans="1:11" x14ac:dyDescent="0.25">
      <c r="A138" s="3" t="s">
        <v>396</v>
      </c>
      <c r="B138" s="12" t="s">
        <v>42</v>
      </c>
      <c r="C138" s="3" t="s">
        <v>297</v>
      </c>
      <c r="D138" s="7" t="s">
        <v>296</v>
      </c>
      <c r="F138" t="s">
        <v>7</v>
      </c>
    </row>
    <row r="139" spans="1:11" x14ac:dyDescent="0.25">
      <c r="A139" s="3" t="s">
        <v>396</v>
      </c>
      <c r="B139" s="12" t="s">
        <v>30</v>
      </c>
      <c r="C139" s="3" t="s">
        <v>297</v>
      </c>
      <c r="D139" s="7" t="s">
        <v>296</v>
      </c>
      <c r="F139" t="s">
        <v>7</v>
      </c>
    </row>
    <row r="140" spans="1:11" x14ac:dyDescent="0.25">
      <c r="A140" s="3" t="s">
        <v>396</v>
      </c>
      <c r="B140" s="12" t="s">
        <v>10</v>
      </c>
      <c r="C140" s="3" t="s">
        <v>297</v>
      </c>
      <c r="D140" s="7" t="s">
        <v>296</v>
      </c>
      <c r="F140" t="s">
        <v>9</v>
      </c>
    </row>
    <row r="141" spans="1:11" x14ac:dyDescent="0.25">
      <c r="A141" s="3" t="s">
        <v>396</v>
      </c>
      <c r="B141" s="12" t="s">
        <v>10</v>
      </c>
      <c r="C141" s="3" t="s">
        <v>304</v>
      </c>
      <c r="D141" s="3" t="s">
        <v>304</v>
      </c>
      <c r="F141" s="3" t="s">
        <v>9</v>
      </c>
    </row>
    <row r="142" spans="1:11" x14ac:dyDescent="0.25">
      <c r="A142" s="3" t="s">
        <v>396</v>
      </c>
      <c r="B142" s="12" t="s">
        <v>23</v>
      </c>
      <c r="C142" s="3" t="s">
        <v>297</v>
      </c>
      <c r="D142" s="7" t="s">
        <v>296</v>
      </c>
      <c r="F142" t="s">
        <v>7</v>
      </c>
    </row>
    <row r="143" spans="1:11" x14ac:dyDescent="0.25">
      <c r="A143" s="3" t="s">
        <v>396</v>
      </c>
      <c r="B143" s="3" t="s">
        <v>23</v>
      </c>
      <c r="C143" s="3" t="s">
        <v>304</v>
      </c>
      <c r="D143" s="3" t="s">
        <v>304</v>
      </c>
      <c r="F143" t="s">
        <v>7</v>
      </c>
    </row>
    <row r="144" spans="1:11" x14ac:dyDescent="0.25">
      <c r="A144" s="3" t="s">
        <v>396</v>
      </c>
      <c r="B144" s="12" t="s">
        <v>43</v>
      </c>
      <c r="C144" s="3" t="s">
        <v>297</v>
      </c>
      <c r="D144" s="7" t="s">
        <v>296</v>
      </c>
      <c r="F144" t="s">
        <v>7</v>
      </c>
    </row>
    <row r="145" spans="1:11" x14ac:dyDescent="0.25">
      <c r="A145" s="3" t="s">
        <v>396</v>
      </c>
      <c r="B145" t="s">
        <v>321</v>
      </c>
      <c r="C145" s="3" t="s">
        <v>297</v>
      </c>
      <c r="D145" s="7" t="s">
        <v>296</v>
      </c>
      <c r="F145" t="s">
        <v>7</v>
      </c>
    </row>
    <row r="146" spans="1:11" x14ac:dyDescent="0.25">
      <c r="A146" s="3" t="s">
        <v>396</v>
      </c>
      <c r="B146" s="12" t="s">
        <v>45</v>
      </c>
      <c r="C146" s="3" t="s">
        <v>297</v>
      </c>
      <c r="D146" s="7" t="s">
        <v>296</v>
      </c>
      <c r="F146" t="s">
        <v>7</v>
      </c>
    </row>
    <row r="147" spans="1:11" x14ac:dyDescent="0.25">
      <c r="A147" s="3" t="s">
        <v>396</v>
      </c>
      <c r="B147" s="12" t="s">
        <v>46</v>
      </c>
      <c r="C147" s="3" t="s">
        <v>297</v>
      </c>
      <c r="D147" s="7" t="s">
        <v>296</v>
      </c>
      <c r="F147" t="s">
        <v>7</v>
      </c>
    </row>
    <row r="148" spans="1:11" x14ac:dyDescent="0.25">
      <c r="A148" s="3" t="s">
        <v>396</v>
      </c>
      <c r="B148" s="12" t="s">
        <v>38</v>
      </c>
      <c r="C148" s="3" t="s">
        <v>297</v>
      </c>
      <c r="D148" s="7" t="s">
        <v>296</v>
      </c>
      <c r="F148" t="s">
        <v>7</v>
      </c>
    </row>
    <row r="149" spans="1:11" ht="45" x14ac:dyDescent="0.25">
      <c r="A149" s="5" t="s">
        <v>316</v>
      </c>
      <c r="B149" t="s">
        <v>23</v>
      </c>
      <c r="C149" t="s">
        <v>159</v>
      </c>
      <c r="D149" s="5" t="s">
        <v>159</v>
      </c>
      <c r="F149" t="s">
        <v>7</v>
      </c>
      <c r="G149" s="5" t="s">
        <v>279</v>
      </c>
      <c r="J149" s="4" t="s">
        <v>172</v>
      </c>
      <c r="K149" s="5"/>
    </row>
    <row r="150" spans="1:11" x14ac:dyDescent="0.25">
      <c r="A150" s="3" t="s">
        <v>397</v>
      </c>
      <c r="B150" s="12" t="s">
        <v>34</v>
      </c>
      <c r="C150" s="7" t="s">
        <v>295</v>
      </c>
      <c r="D150" s="3" t="s">
        <v>295</v>
      </c>
      <c r="F150" t="s">
        <v>7</v>
      </c>
    </row>
    <row r="151" spans="1:11" x14ac:dyDescent="0.25">
      <c r="A151" s="3" t="s">
        <v>397</v>
      </c>
      <c r="B151" s="12" t="s">
        <v>40</v>
      </c>
      <c r="C151" s="7" t="s">
        <v>295</v>
      </c>
      <c r="D151" s="3" t="s">
        <v>295</v>
      </c>
      <c r="F151" t="s">
        <v>9</v>
      </c>
    </row>
    <row r="152" spans="1:11" x14ac:dyDescent="0.25">
      <c r="A152" s="3" t="s">
        <v>397</v>
      </c>
      <c r="B152" s="12" t="s">
        <v>15</v>
      </c>
      <c r="C152" s="7" t="s">
        <v>295</v>
      </c>
      <c r="D152" s="3" t="s">
        <v>295</v>
      </c>
      <c r="F152" t="s">
        <v>9</v>
      </c>
    </row>
    <row r="153" spans="1:11" x14ac:dyDescent="0.25">
      <c r="A153" s="3" t="s">
        <v>397</v>
      </c>
      <c r="B153" s="12" t="s">
        <v>42</v>
      </c>
      <c r="C153" s="7" t="s">
        <v>295</v>
      </c>
      <c r="D153" s="3" t="s">
        <v>295</v>
      </c>
      <c r="F153" t="s">
        <v>7</v>
      </c>
    </row>
    <row r="154" spans="1:11" x14ac:dyDescent="0.25">
      <c r="A154" s="3" t="s">
        <v>397</v>
      </c>
      <c r="B154" s="12" t="s">
        <v>30</v>
      </c>
      <c r="C154" s="7" t="s">
        <v>295</v>
      </c>
      <c r="D154" s="3" t="s">
        <v>295</v>
      </c>
      <c r="F154" t="s">
        <v>7</v>
      </c>
    </row>
    <row r="155" spans="1:11" x14ac:dyDescent="0.25">
      <c r="A155" s="3" t="s">
        <v>397</v>
      </c>
      <c r="B155" s="12" t="s">
        <v>10</v>
      </c>
      <c r="C155" s="7" t="s">
        <v>295</v>
      </c>
      <c r="D155" s="3" t="s">
        <v>295</v>
      </c>
      <c r="F155" t="s">
        <v>9</v>
      </c>
    </row>
    <row r="156" spans="1:11" x14ac:dyDescent="0.25">
      <c r="A156" s="3" t="s">
        <v>397</v>
      </c>
      <c r="B156" s="12" t="s">
        <v>10</v>
      </c>
      <c r="C156" s="3" t="s">
        <v>305</v>
      </c>
      <c r="D156" s="3" t="s">
        <v>305</v>
      </c>
      <c r="F156" s="3" t="s">
        <v>9</v>
      </c>
    </row>
    <row r="157" spans="1:11" x14ac:dyDescent="0.25">
      <c r="A157" s="3" t="s">
        <v>397</v>
      </c>
      <c r="B157" s="12" t="s">
        <v>23</v>
      </c>
      <c r="C157" s="7" t="s">
        <v>295</v>
      </c>
      <c r="D157" s="3" t="s">
        <v>295</v>
      </c>
      <c r="F157" t="s">
        <v>7</v>
      </c>
    </row>
    <row r="158" spans="1:11" x14ac:dyDescent="0.25">
      <c r="A158" s="3" t="s">
        <v>397</v>
      </c>
      <c r="B158" s="3" t="s">
        <v>23</v>
      </c>
      <c r="C158" s="3" t="s">
        <v>305</v>
      </c>
      <c r="D158" s="3" t="s">
        <v>305</v>
      </c>
      <c r="F158" t="s">
        <v>7</v>
      </c>
    </row>
    <row r="159" spans="1:11" x14ac:dyDescent="0.25">
      <c r="A159" s="3" t="s">
        <v>397</v>
      </c>
      <c r="B159" s="12" t="s">
        <v>43</v>
      </c>
      <c r="C159" s="7" t="s">
        <v>295</v>
      </c>
      <c r="D159" s="3" t="s">
        <v>295</v>
      </c>
      <c r="F159" t="s">
        <v>7</v>
      </c>
    </row>
    <row r="160" spans="1:11" x14ac:dyDescent="0.25">
      <c r="A160" s="3" t="s">
        <v>397</v>
      </c>
      <c r="B160" t="s">
        <v>321</v>
      </c>
      <c r="C160" s="7" t="s">
        <v>295</v>
      </c>
      <c r="D160" s="3" t="s">
        <v>295</v>
      </c>
      <c r="F160" t="s">
        <v>7</v>
      </c>
    </row>
    <row r="161" spans="1:11" x14ac:dyDescent="0.25">
      <c r="A161" s="3" t="s">
        <v>397</v>
      </c>
      <c r="B161" s="12" t="s">
        <v>45</v>
      </c>
      <c r="C161" s="7" t="s">
        <v>295</v>
      </c>
      <c r="D161" s="3" t="s">
        <v>295</v>
      </c>
      <c r="F161" t="s">
        <v>7</v>
      </c>
    </row>
    <row r="162" spans="1:11" x14ac:dyDescent="0.25">
      <c r="A162" s="3" t="s">
        <v>397</v>
      </c>
      <c r="B162" s="12" t="s">
        <v>46</v>
      </c>
      <c r="C162" s="7" t="s">
        <v>295</v>
      </c>
      <c r="D162" s="3" t="s">
        <v>295</v>
      </c>
      <c r="F162" t="s">
        <v>7</v>
      </c>
    </row>
    <row r="163" spans="1:11" x14ac:dyDescent="0.25">
      <c r="A163" s="3" t="s">
        <v>397</v>
      </c>
      <c r="B163" s="12" t="s">
        <v>38</v>
      </c>
      <c r="C163" s="7" t="s">
        <v>295</v>
      </c>
      <c r="D163" s="3" t="s">
        <v>295</v>
      </c>
      <c r="F163" t="s">
        <v>7</v>
      </c>
    </row>
    <row r="164" spans="1:11" x14ac:dyDescent="0.25">
      <c r="A164" t="s">
        <v>312</v>
      </c>
      <c r="B164" t="s">
        <v>38</v>
      </c>
      <c r="C164" t="s">
        <v>58</v>
      </c>
      <c r="D164" t="s">
        <v>313</v>
      </c>
      <c r="F164" t="s">
        <v>7</v>
      </c>
    </row>
    <row r="165" spans="1:11" ht="75" x14ac:dyDescent="0.25">
      <c r="A165" s="5" t="s">
        <v>47</v>
      </c>
      <c r="B165" t="s">
        <v>34</v>
      </c>
      <c r="C165" t="s">
        <v>144</v>
      </c>
      <c r="D165" s="5" t="s">
        <v>47</v>
      </c>
      <c r="F165" t="s">
        <v>9</v>
      </c>
      <c r="G165" s="5" t="s">
        <v>240</v>
      </c>
      <c r="J165" s="4" t="s">
        <v>172</v>
      </c>
      <c r="K165" s="5" t="s">
        <v>241</v>
      </c>
    </row>
    <row r="166" spans="1:11" ht="60" x14ac:dyDescent="0.25">
      <c r="A166" s="5" t="s">
        <v>47</v>
      </c>
      <c r="B166" t="s">
        <v>34</v>
      </c>
      <c r="C166" t="s">
        <v>144</v>
      </c>
      <c r="D166" s="5" t="s">
        <v>144</v>
      </c>
      <c r="F166" t="s">
        <v>9</v>
      </c>
      <c r="G166" s="5" t="s">
        <v>242</v>
      </c>
      <c r="J166" s="4" t="s">
        <v>172</v>
      </c>
      <c r="K166" s="5" t="s">
        <v>243</v>
      </c>
    </row>
    <row r="167" spans="1:11" ht="45" x14ac:dyDescent="0.25">
      <c r="A167" s="5" t="s">
        <v>47</v>
      </c>
      <c r="B167" t="s">
        <v>10</v>
      </c>
      <c r="C167" t="s">
        <v>144</v>
      </c>
      <c r="D167" s="5" t="s">
        <v>144</v>
      </c>
      <c r="F167" t="s">
        <v>9</v>
      </c>
      <c r="G167" s="5" t="s">
        <v>252</v>
      </c>
      <c r="J167" s="4"/>
      <c r="K167" s="5"/>
    </row>
    <row r="168" spans="1:11" ht="45" x14ac:dyDescent="0.25">
      <c r="A168" s="3" t="s">
        <v>93</v>
      </c>
      <c r="B168" s="3" t="s">
        <v>6</v>
      </c>
      <c r="C168" s="3" t="s">
        <v>137</v>
      </c>
      <c r="D168" s="7" t="s">
        <v>93</v>
      </c>
      <c r="F168" t="s">
        <v>7</v>
      </c>
      <c r="G168" s="7" t="s">
        <v>171</v>
      </c>
      <c r="H168" s="3"/>
      <c r="I168" s="3"/>
      <c r="J168" s="3" t="s">
        <v>172</v>
      </c>
      <c r="K168" s="7"/>
    </row>
    <row r="169" spans="1:11" ht="60" x14ac:dyDescent="0.25">
      <c r="A169" s="3" t="s">
        <v>94</v>
      </c>
      <c r="B169" s="3" t="s">
        <v>6</v>
      </c>
      <c r="C169" s="3" t="s">
        <v>94</v>
      </c>
      <c r="D169" s="7" t="s">
        <v>94</v>
      </c>
      <c r="F169" t="s">
        <v>7</v>
      </c>
      <c r="G169" s="7" t="s">
        <v>173</v>
      </c>
      <c r="H169" s="3" t="s">
        <v>174</v>
      </c>
      <c r="I169" s="3" t="s">
        <v>218</v>
      </c>
      <c r="J169" s="3" t="s">
        <v>172</v>
      </c>
      <c r="K169" s="7"/>
    </row>
    <row r="170" spans="1:11" ht="45" x14ac:dyDescent="0.25">
      <c r="A170" s="3" t="s">
        <v>95</v>
      </c>
      <c r="B170" s="3" t="s">
        <v>6</v>
      </c>
      <c r="C170" s="3" t="s">
        <v>95</v>
      </c>
      <c r="D170" s="7" t="s">
        <v>95</v>
      </c>
      <c r="F170" t="s">
        <v>7</v>
      </c>
      <c r="G170" s="7" t="s">
        <v>219</v>
      </c>
      <c r="H170" s="3" t="s">
        <v>174</v>
      </c>
      <c r="I170" s="3" t="s">
        <v>218</v>
      </c>
      <c r="J170" s="3" t="s">
        <v>172</v>
      </c>
      <c r="K170" s="7"/>
    </row>
    <row r="171" spans="1:11" ht="60" x14ac:dyDescent="0.25">
      <c r="A171" s="3" t="s">
        <v>96</v>
      </c>
      <c r="B171" s="3" t="s">
        <v>6</v>
      </c>
      <c r="C171" s="3" t="s">
        <v>96</v>
      </c>
      <c r="D171" s="7" t="s">
        <v>96</v>
      </c>
      <c r="F171" t="s">
        <v>7</v>
      </c>
      <c r="G171" s="7" t="s">
        <v>176</v>
      </c>
      <c r="H171" s="3"/>
      <c r="I171" s="3"/>
      <c r="J171" s="3" t="s">
        <v>172</v>
      </c>
      <c r="K171" s="7"/>
    </row>
    <row r="172" spans="1:11" ht="75" x14ac:dyDescent="0.25">
      <c r="A172" s="3" t="s">
        <v>97</v>
      </c>
      <c r="B172" s="3" t="s">
        <v>6</v>
      </c>
      <c r="C172" s="3" t="s">
        <v>97</v>
      </c>
      <c r="D172" s="7" t="s">
        <v>97</v>
      </c>
      <c r="F172" t="s">
        <v>7</v>
      </c>
      <c r="G172" s="7" t="s">
        <v>177</v>
      </c>
      <c r="H172" s="3"/>
      <c r="I172" s="3"/>
      <c r="J172" s="3" t="s">
        <v>172</v>
      </c>
      <c r="K172" s="7"/>
    </row>
    <row r="173" spans="1:11" ht="45" x14ac:dyDescent="0.25">
      <c r="A173" s="3" t="s">
        <v>98</v>
      </c>
      <c r="B173" s="3" t="s">
        <v>6</v>
      </c>
      <c r="C173" s="3" t="s">
        <v>138</v>
      </c>
      <c r="D173" s="7" t="s">
        <v>98</v>
      </c>
      <c r="F173" t="s">
        <v>7</v>
      </c>
      <c r="G173" s="7" t="s">
        <v>178</v>
      </c>
      <c r="H173" s="3"/>
      <c r="I173" s="3"/>
      <c r="J173" s="3" t="s">
        <v>172</v>
      </c>
      <c r="K173" s="7"/>
    </row>
    <row r="174" spans="1:11" ht="60" x14ac:dyDescent="0.25">
      <c r="A174" t="s">
        <v>5</v>
      </c>
      <c r="B174" t="s">
        <v>6</v>
      </c>
      <c r="C174" t="s">
        <v>5</v>
      </c>
      <c r="D174" s="5" t="s">
        <v>5</v>
      </c>
      <c r="F174" t="s">
        <v>7</v>
      </c>
      <c r="G174" s="5" t="s">
        <v>220</v>
      </c>
      <c r="J174" s="4" t="s">
        <v>172</v>
      </c>
      <c r="K174" s="5"/>
    </row>
    <row r="175" spans="1:11" ht="90" x14ac:dyDescent="0.25">
      <c r="A175" t="s">
        <v>54</v>
      </c>
      <c r="B175" t="s">
        <v>6</v>
      </c>
      <c r="C175" t="s">
        <v>144</v>
      </c>
      <c r="D175" s="5" t="s">
        <v>54</v>
      </c>
      <c r="F175" t="s">
        <v>7</v>
      </c>
      <c r="G175" s="5" t="s">
        <v>221</v>
      </c>
      <c r="J175" s="4" t="s">
        <v>172</v>
      </c>
      <c r="K175" s="5"/>
    </row>
    <row r="176" spans="1:11" ht="45" x14ac:dyDescent="0.25">
      <c r="A176" s="4" t="s">
        <v>99</v>
      </c>
      <c r="B176" s="4" t="s">
        <v>6</v>
      </c>
      <c r="C176" s="4" t="s">
        <v>133</v>
      </c>
      <c r="D176" s="6" t="s">
        <v>99</v>
      </c>
      <c r="F176" t="s">
        <v>7</v>
      </c>
      <c r="G176" s="6" t="s">
        <v>181</v>
      </c>
      <c r="H176" s="4"/>
      <c r="I176" s="4"/>
      <c r="J176" s="4" t="s">
        <v>172</v>
      </c>
      <c r="K176" s="6"/>
    </row>
    <row r="177" spans="1:11" ht="75" x14ac:dyDescent="0.25">
      <c r="A177" s="4" t="s">
        <v>100</v>
      </c>
      <c r="B177" s="4" t="s">
        <v>6</v>
      </c>
      <c r="C177" s="4" t="s">
        <v>139</v>
      </c>
      <c r="D177" s="6" t="s">
        <v>100</v>
      </c>
      <c r="F177" t="s">
        <v>7</v>
      </c>
      <c r="G177" s="6" t="s">
        <v>182</v>
      </c>
      <c r="H177" s="4"/>
      <c r="I177" s="4"/>
      <c r="J177" s="4"/>
      <c r="K177" s="6"/>
    </row>
    <row r="178" spans="1:11" ht="60" x14ac:dyDescent="0.25">
      <c r="A178" s="3" t="s">
        <v>120</v>
      </c>
      <c r="B178" s="3" t="s">
        <v>6</v>
      </c>
      <c r="C178" s="3" t="s">
        <v>120</v>
      </c>
      <c r="D178" s="7" t="s">
        <v>120</v>
      </c>
      <c r="F178" t="s">
        <v>7</v>
      </c>
      <c r="G178" s="7" t="s">
        <v>183</v>
      </c>
      <c r="H178" s="3"/>
      <c r="I178" s="3"/>
      <c r="J178" s="3"/>
      <c r="K178" s="7"/>
    </row>
    <row r="179" spans="1:11" ht="120" x14ac:dyDescent="0.25">
      <c r="A179" s="4" t="s">
        <v>101</v>
      </c>
      <c r="B179" s="4" t="s">
        <v>6</v>
      </c>
      <c r="C179" s="4" t="s">
        <v>101</v>
      </c>
      <c r="D179" s="6" t="s">
        <v>101</v>
      </c>
      <c r="F179" t="s">
        <v>7</v>
      </c>
      <c r="G179" s="6" t="s">
        <v>184</v>
      </c>
      <c r="H179" s="4"/>
      <c r="I179" s="4"/>
      <c r="J179" s="4" t="s">
        <v>172</v>
      </c>
      <c r="K179" s="6"/>
    </row>
    <row r="180" spans="1:11" ht="45" x14ac:dyDescent="0.25">
      <c r="A180" s="3" t="s">
        <v>102</v>
      </c>
      <c r="B180" s="3" t="s">
        <v>6</v>
      </c>
      <c r="C180" s="3" t="s">
        <v>102</v>
      </c>
      <c r="D180" s="7" t="s">
        <v>102</v>
      </c>
      <c r="F180" t="s">
        <v>7</v>
      </c>
      <c r="G180" s="7" t="s">
        <v>186</v>
      </c>
      <c r="H180" s="3"/>
      <c r="I180" s="3"/>
      <c r="J180" s="3" t="s">
        <v>172</v>
      </c>
      <c r="K180" s="7"/>
    </row>
    <row r="181" spans="1:11" ht="75" x14ac:dyDescent="0.25">
      <c r="A181" s="4" t="s">
        <v>103</v>
      </c>
      <c r="B181" s="4" t="s">
        <v>6</v>
      </c>
      <c r="C181" s="4" t="s">
        <v>140</v>
      </c>
      <c r="D181" s="6" t="s">
        <v>103</v>
      </c>
      <c r="F181" t="s">
        <v>7</v>
      </c>
      <c r="G181" s="6" t="s">
        <v>187</v>
      </c>
      <c r="H181" s="4"/>
      <c r="I181" s="4"/>
      <c r="J181" s="4" t="s">
        <v>172</v>
      </c>
      <c r="K181" s="6"/>
    </row>
    <row r="182" spans="1:11" ht="75" x14ac:dyDescent="0.25">
      <c r="A182" s="3" t="s">
        <v>104</v>
      </c>
      <c r="B182" s="3" t="s">
        <v>6</v>
      </c>
      <c r="C182" s="7" t="s">
        <v>104</v>
      </c>
      <c r="D182" s="7" t="s">
        <v>104</v>
      </c>
      <c r="F182" t="s">
        <v>7</v>
      </c>
      <c r="G182" s="7" t="s">
        <v>222</v>
      </c>
      <c r="H182" s="3"/>
      <c r="I182" t="s">
        <v>307</v>
      </c>
      <c r="J182" s="3" t="s">
        <v>172</v>
      </c>
      <c r="K182" s="7"/>
    </row>
    <row r="183" spans="1:11" ht="90" x14ac:dyDescent="0.25">
      <c r="A183" s="3" t="s">
        <v>105</v>
      </c>
      <c r="B183" s="3" t="s">
        <v>6</v>
      </c>
      <c r="C183" s="7" t="s">
        <v>105</v>
      </c>
      <c r="D183" s="7" t="s">
        <v>105</v>
      </c>
      <c r="F183" t="s">
        <v>7</v>
      </c>
      <c r="G183" s="7" t="s">
        <v>223</v>
      </c>
      <c r="H183" s="3"/>
      <c r="I183" t="s">
        <v>307</v>
      </c>
      <c r="J183" s="3" t="s">
        <v>172</v>
      </c>
      <c r="K183" s="7"/>
    </row>
    <row r="184" spans="1:11" ht="75" x14ac:dyDescent="0.25">
      <c r="A184" s="3" t="s">
        <v>106</v>
      </c>
      <c r="B184" s="3" t="s">
        <v>6</v>
      </c>
      <c r="C184" s="7" t="s">
        <v>106</v>
      </c>
      <c r="D184" s="7" t="s">
        <v>106</v>
      </c>
      <c r="F184" t="s">
        <v>7</v>
      </c>
      <c r="G184" s="7" t="s">
        <v>224</v>
      </c>
      <c r="H184" s="3"/>
      <c r="I184" t="s">
        <v>307</v>
      </c>
      <c r="J184" s="3" t="s">
        <v>172</v>
      </c>
      <c r="K184" s="7"/>
    </row>
    <row r="185" spans="1:11" ht="60" x14ac:dyDescent="0.25">
      <c r="A185" s="3" t="s">
        <v>107</v>
      </c>
      <c r="B185" s="3" t="s">
        <v>6</v>
      </c>
      <c r="C185" s="7" t="s">
        <v>107</v>
      </c>
      <c r="D185" s="7" t="s">
        <v>107</v>
      </c>
      <c r="F185" t="s">
        <v>7</v>
      </c>
      <c r="G185" s="7" t="s">
        <v>225</v>
      </c>
      <c r="H185" s="3"/>
      <c r="I185" t="s">
        <v>307</v>
      </c>
      <c r="J185" s="3" t="s">
        <v>172</v>
      </c>
      <c r="K185" s="7"/>
    </row>
    <row r="186" spans="1:11" ht="60" x14ac:dyDescent="0.25">
      <c r="A186" s="3" t="s">
        <v>108</v>
      </c>
      <c r="B186" s="3" t="s">
        <v>6</v>
      </c>
      <c r="C186" s="7" t="s">
        <v>108</v>
      </c>
      <c r="D186" s="7" t="s">
        <v>108</v>
      </c>
      <c r="F186" t="s">
        <v>7</v>
      </c>
      <c r="G186" s="7" t="s">
        <v>226</v>
      </c>
      <c r="H186" s="3"/>
      <c r="I186" t="s">
        <v>307</v>
      </c>
      <c r="J186" s="3" t="s">
        <v>172</v>
      </c>
      <c r="K186" s="7"/>
    </row>
    <row r="187" spans="1:11" ht="90" x14ac:dyDescent="0.25">
      <c r="A187" s="3" t="s">
        <v>583</v>
      </c>
      <c r="B187" s="3" t="s">
        <v>6</v>
      </c>
      <c r="C187" s="7" t="s">
        <v>583</v>
      </c>
      <c r="D187" s="7" t="s">
        <v>583</v>
      </c>
      <c r="F187" t="s">
        <v>7</v>
      </c>
      <c r="G187" s="7" t="s">
        <v>584</v>
      </c>
      <c r="H187" s="3"/>
      <c r="I187" t="s">
        <v>307</v>
      </c>
      <c r="J187" s="3" t="s">
        <v>172</v>
      </c>
      <c r="K187" s="7"/>
    </row>
    <row r="188" spans="1:11" ht="60" x14ac:dyDescent="0.25">
      <c r="A188" s="3" t="s">
        <v>109</v>
      </c>
      <c r="B188" s="3" t="s">
        <v>6</v>
      </c>
      <c r="C188" s="3" t="s">
        <v>109</v>
      </c>
      <c r="D188" s="7" t="s">
        <v>109</v>
      </c>
      <c r="F188" t="s">
        <v>7</v>
      </c>
      <c r="G188" s="7" t="s">
        <v>194</v>
      </c>
      <c r="H188" s="3" t="s">
        <v>174</v>
      </c>
      <c r="I188" s="3" t="s">
        <v>218</v>
      </c>
      <c r="J188" s="3" t="s">
        <v>172</v>
      </c>
      <c r="K188" s="7"/>
    </row>
    <row r="189" spans="1:11" ht="45" x14ac:dyDescent="0.25">
      <c r="A189" s="3" t="s">
        <v>110</v>
      </c>
      <c r="B189" s="3" t="s">
        <v>6</v>
      </c>
      <c r="C189" s="3" t="s">
        <v>110</v>
      </c>
      <c r="D189" s="7" t="s">
        <v>110</v>
      </c>
      <c r="F189" t="s">
        <v>7</v>
      </c>
      <c r="G189" s="7" t="s">
        <v>196</v>
      </c>
      <c r="H189" s="3" t="s">
        <v>174</v>
      </c>
      <c r="I189" s="3" t="s">
        <v>218</v>
      </c>
      <c r="J189" s="3" t="s">
        <v>172</v>
      </c>
      <c r="K189" s="7"/>
    </row>
    <row r="190" spans="1:11" ht="60" x14ac:dyDescent="0.25">
      <c r="A190" s="3" t="s">
        <v>111</v>
      </c>
      <c r="B190" s="3" t="s">
        <v>6</v>
      </c>
      <c r="C190" s="3" t="s">
        <v>111</v>
      </c>
      <c r="D190" s="7" t="s">
        <v>111</v>
      </c>
      <c r="F190" t="s">
        <v>7</v>
      </c>
      <c r="G190" s="7" t="s">
        <v>198</v>
      </c>
      <c r="H190" s="3"/>
      <c r="I190" s="3"/>
      <c r="J190" s="3" t="s">
        <v>172</v>
      </c>
      <c r="K190" s="7"/>
    </row>
    <row r="191" spans="1:11" x14ac:dyDescent="0.25">
      <c r="A191" s="19" t="s">
        <v>112</v>
      </c>
      <c r="B191" s="19" t="s">
        <v>6</v>
      </c>
      <c r="C191" t="s">
        <v>112</v>
      </c>
      <c r="D191" s="5" t="s">
        <v>112</v>
      </c>
      <c r="F191" t="s">
        <v>7</v>
      </c>
      <c r="G191" s="5"/>
      <c r="J191" s="4" t="s">
        <v>172</v>
      </c>
      <c r="K191" s="5"/>
    </row>
    <row r="192" spans="1:11" ht="75" x14ac:dyDescent="0.25">
      <c r="A192" s="15" t="s">
        <v>112</v>
      </c>
      <c r="B192" s="15" t="s">
        <v>6</v>
      </c>
      <c r="C192" s="3" t="s">
        <v>112</v>
      </c>
      <c r="D192" s="7" t="s">
        <v>112</v>
      </c>
      <c r="F192" t="s">
        <v>7</v>
      </c>
      <c r="G192" s="7" t="s">
        <v>199</v>
      </c>
      <c r="H192" s="3"/>
      <c r="I192" s="3"/>
      <c r="J192" s="3" t="s">
        <v>172</v>
      </c>
      <c r="K192" s="7"/>
    </row>
    <row r="193" spans="1:11" ht="45" x14ac:dyDescent="0.25">
      <c r="A193" s="15" t="s">
        <v>113</v>
      </c>
      <c r="B193" s="3" t="s">
        <v>6</v>
      </c>
      <c r="C193" s="3" t="s">
        <v>567</v>
      </c>
      <c r="D193" s="7" t="s">
        <v>113</v>
      </c>
      <c r="F193" t="s">
        <v>7</v>
      </c>
      <c r="G193" s="7" t="s">
        <v>200</v>
      </c>
      <c r="H193" s="3"/>
      <c r="I193" s="3"/>
      <c r="J193" s="3"/>
      <c r="K193" s="7"/>
    </row>
    <row r="194" spans="1:11" ht="60" x14ac:dyDescent="0.25">
      <c r="A194" s="4" t="s">
        <v>114</v>
      </c>
      <c r="B194" s="18" t="s">
        <v>6</v>
      </c>
      <c r="C194" s="18" t="s">
        <v>114</v>
      </c>
      <c r="D194" s="21" t="s">
        <v>114</v>
      </c>
      <c r="F194" t="s">
        <v>7</v>
      </c>
      <c r="G194" s="6" t="s">
        <v>203</v>
      </c>
      <c r="H194" s="4"/>
      <c r="I194" s="4"/>
      <c r="J194" s="4" t="s">
        <v>172</v>
      </c>
      <c r="K194" s="6"/>
    </row>
    <row r="195" spans="1:11" ht="60" x14ac:dyDescent="0.25">
      <c r="A195" s="19" t="s">
        <v>311</v>
      </c>
      <c r="B195" s="19" t="s">
        <v>6</v>
      </c>
      <c r="C195" s="19" t="s">
        <v>311</v>
      </c>
      <c r="D195" s="19" t="s">
        <v>311</v>
      </c>
      <c r="F195" t="s">
        <v>7</v>
      </c>
      <c r="G195" s="5" t="s">
        <v>227</v>
      </c>
      <c r="J195" s="4" t="s">
        <v>172</v>
      </c>
      <c r="K195" s="5"/>
    </row>
    <row r="196" spans="1:11" ht="60" x14ac:dyDescent="0.25">
      <c r="A196" s="19" t="s">
        <v>115</v>
      </c>
      <c r="B196" t="s">
        <v>6</v>
      </c>
      <c r="C196" t="s">
        <v>144</v>
      </c>
      <c r="D196" s="5" t="s">
        <v>115</v>
      </c>
      <c r="F196" t="s">
        <v>7</v>
      </c>
      <c r="G196" s="5" t="s">
        <v>228</v>
      </c>
      <c r="J196" s="4" t="s">
        <v>172</v>
      </c>
      <c r="K196" s="5"/>
    </row>
    <row r="197" spans="1:11" ht="60" x14ac:dyDescent="0.25">
      <c r="A197" s="3" t="s">
        <v>116</v>
      </c>
      <c r="B197" s="3" t="s">
        <v>6</v>
      </c>
      <c r="C197" s="15" t="s">
        <v>116</v>
      </c>
      <c r="D197" s="20" t="s">
        <v>116</v>
      </c>
      <c r="F197" t="s">
        <v>7</v>
      </c>
      <c r="G197" s="7" t="s">
        <v>212</v>
      </c>
      <c r="H197" s="3"/>
      <c r="I197" s="3"/>
      <c r="J197" s="3" t="s">
        <v>172</v>
      </c>
      <c r="K197" s="7"/>
    </row>
    <row r="198" spans="1:11" ht="45" x14ac:dyDescent="0.25">
      <c r="A198" s="15" t="s">
        <v>117</v>
      </c>
      <c r="B198" s="3" t="s">
        <v>6</v>
      </c>
      <c r="C198" s="15" t="s">
        <v>117</v>
      </c>
      <c r="D198" s="20" t="s">
        <v>117</v>
      </c>
      <c r="F198" t="s">
        <v>7</v>
      </c>
      <c r="G198" s="7" t="s">
        <v>207</v>
      </c>
      <c r="H198" s="3" t="s">
        <v>209</v>
      </c>
      <c r="I198" s="3" t="s">
        <v>218</v>
      </c>
      <c r="J198" s="3" t="s">
        <v>172</v>
      </c>
      <c r="K198" s="7"/>
    </row>
    <row r="199" spans="1:11" ht="45" x14ac:dyDescent="0.25">
      <c r="A199" s="16" t="s">
        <v>117</v>
      </c>
      <c r="B199" s="3" t="s">
        <v>6</v>
      </c>
      <c r="C199" s="3" t="s">
        <v>141</v>
      </c>
      <c r="D199" s="22" t="s">
        <v>141</v>
      </c>
      <c r="F199" t="s">
        <v>7</v>
      </c>
      <c r="G199" s="7" t="s">
        <v>210</v>
      </c>
      <c r="H199" s="3" t="s">
        <v>209</v>
      </c>
      <c r="I199" s="3" t="s">
        <v>218</v>
      </c>
      <c r="J199" s="3" t="s">
        <v>172</v>
      </c>
      <c r="K199" s="7"/>
    </row>
    <row r="200" spans="1:11" ht="45" x14ac:dyDescent="0.25">
      <c r="A200" s="4" t="s">
        <v>118</v>
      </c>
      <c r="B200" s="4" t="s">
        <v>6</v>
      </c>
      <c r="C200" s="4" t="s">
        <v>142</v>
      </c>
      <c r="D200" s="6" t="s">
        <v>118</v>
      </c>
      <c r="F200" t="s">
        <v>7</v>
      </c>
      <c r="G200" s="6" t="s">
        <v>214</v>
      </c>
      <c r="H200" s="4"/>
      <c r="I200" s="4"/>
      <c r="J200" s="4" t="s">
        <v>172</v>
      </c>
      <c r="K200" s="6" t="s">
        <v>215</v>
      </c>
    </row>
    <row r="201" spans="1:11" ht="45" x14ac:dyDescent="0.25">
      <c r="A201" s="18" t="s">
        <v>119</v>
      </c>
      <c r="B201" s="18" t="s">
        <v>6</v>
      </c>
      <c r="C201" s="4" t="s">
        <v>119</v>
      </c>
      <c r="D201" s="6" t="s">
        <v>119</v>
      </c>
      <c r="F201" t="s">
        <v>7</v>
      </c>
      <c r="G201" s="6" t="s">
        <v>216</v>
      </c>
      <c r="H201" s="4"/>
      <c r="I201" s="4"/>
      <c r="J201" s="4" t="s">
        <v>172</v>
      </c>
      <c r="K201" s="6"/>
    </row>
    <row r="202" spans="1:11" x14ac:dyDescent="0.25">
      <c r="A202" t="s">
        <v>119</v>
      </c>
      <c r="B202" t="s">
        <v>6</v>
      </c>
      <c r="C202" s="6" t="s">
        <v>119</v>
      </c>
      <c r="D202" s="4" t="s">
        <v>119</v>
      </c>
      <c r="F202" t="s">
        <v>7</v>
      </c>
    </row>
    <row r="203" spans="1:11" ht="60" x14ac:dyDescent="0.25">
      <c r="A203" t="s">
        <v>143</v>
      </c>
      <c r="B203" t="s">
        <v>6</v>
      </c>
      <c r="C203" t="s">
        <v>143</v>
      </c>
      <c r="D203" s="5" t="s">
        <v>143</v>
      </c>
      <c r="F203" t="s">
        <v>7</v>
      </c>
      <c r="G203" s="5" t="s">
        <v>229</v>
      </c>
      <c r="J203" s="4" t="s">
        <v>172</v>
      </c>
      <c r="K203" s="5"/>
    </row>
    <row r="204" spans="1:11" ht="60" x14ac:dyDescent="0.25">
      <c r="A204" s="5" t="s">
        <v>25</v>
      </c>
      <c r="B204" t="s">
        <v>34</v>
      </c>
      <c r="C204" t="s">
        <v>35</v>
      </c>
      <c r="D204" s="5" t="s">
        <v>35</v>
      </c>
      <c r="F204" t="s">
        <v>9</v>
      </c>
      <c r="G204" s="5" t="s">
        <v>244</v>
      </c>
      <c r="H204" t="s">
        <v>209</v>
      </c>
      <c r="J204" s="4" t="s">
        <v>172</v>
      </c>
      <c r="K204" s="5"/>
    </row>
    <row r="205" spans="1:11" x14ac:dyDescent="0.25">
      <c r="A205" s="5" t="s">
        <v>25</v>
      </c>
      <c r="B205" t="s">
        <v>42</v>
      </c>
      <c r="C205" t="s">
        <v>41</v>
      </c>
      <c r="D205" s="6" t="s">
        <v>41</v>
      </c>
      <c r="F205" t="s">
        <v>327</v>
      </c>
    </row>
    <row r="206" spans="1:11" ht="45" x14ac:dyDescent="0.25">
      <c r="A206" s="5" t="s">
        <v>25</v>
      </c>
      <c r="B206" t="s">
        <v>10</v>
      </c>
      <c r="C206" t="s">
        <v>144</v>
      </c>
      <c r="D206" s="5" t="s">
        <v>144</v>
      </c>
      <c r="F206" t="s">
        <v>9</v>
      </c>
      <c r="G206" s="5" t="s">
        <v>253</v>
      </c>
      <c r="J206" s="4" t="s">
        <v>172</v>
      </c>
      <c r="K206" s="5"/>
    </row>
    <row r="207" spans="1:11" ht="45" x14ac:dyDescent="0.25">
      <c r="A207" s="5" t="s">
        <v>25</v>
      </c>
      <c r="B207" t="s">
        <v>23</v>
      </c>
      <c r="C207" t="s">
        <v>144</v>
      </c>
      <c r="D207" s="5" t="s">
        <v>144</v>
      </c>
      <c r="F207" t="s">
        <v>7</v>
      </c>
      <c r="G207" s="5" t="s">
        <v>253</v>
      </c>
      <c r="J207" s="4" t="s">
        <v>172</v>
      </c>
      <c r="K207" s="5"/>
    </row>
    <row r="208" spans="1:11" ht="45" x14ac:dyDescent="0.25">
      <c r="A208" s="5" t="s">
        <v>25</v>
      </c>
      <c r="B208" t="s">
        <v>38</v>
      </c>
      <c r="C208" t="s">
        <v>58</v>
      </c>
      <c r="D208" s="5" t="s">
        <v>58</v>
      </c>
      <c r="F208" t="s">
        <v>7</v>
      </c>
      <c r="G208" s="5" t="s">
        <v>253</v>
      </c>
      <c r="H208" t="s">
        <v>174</v>
      </c>
      <c r="J208" s="4" t="s">
        <v>172</v>
      </c>
      <c r="K208" s="5"/>
    </row>
    <row r="209" spans="1:11" x14ac:dyDescent="0.25">
      <c r="A209" s="3" t="s">
        <v>64</v>
      </c>
      <c r="B209" s="3" t="s">
        <v>6</v>
      </c>
      <c r="C209" s="3" t="s">
        <v>64</v>
      </c>
      <c r="D209" s="7" t="s">
        <v>64</v>
      </c>
      <c r="F209" s="3" t="s">
        <v>9</v>
      </c>
      <c r="G209" s="7"/>
      <c r="H209" s="3" t="s">
        <v>174</v>
      </c>
      <c r="I209" s="3"/>
      <c r="J209" s="3"/>
      <c r="K209" s="7"/>
    </row>
    <row r="210" spans="1:11" ht="60" x14ac:dyDescent="0.25">
      <c r="A210" s="3" t="s">
        <v>66</v>
      </c>
      <c r="B210" s="3" t="s">
        <v>6</v>
      </c>
      <c r="C210" s="3" t="s">
        <v>66</v>
      </c>
      <c r="D210" s="7" t="s">
        <v>66</v>
      </c>
      <c r="F210" s="3" t="s">
        <v>9</v>
      </c>
      <c r="G210" s="7" t="s">
        <v>175</v>
      </c>
      <c r="H210" s="3" t="s">
        <v>174</v>
      </c>
      <c r="I210" s="3"/>
      <c r="J210" s="3" t="s">
        <v>172</v>
      </c>
      <c r="K210" s="7"/>
    </row>
    <row r="211" spans="1:11" ht="90" x14ac:dyDescent="0.25">
      <c r="A211" s="3" t="s">
        <v>128</v>
      </c>
      <c r="B211" s="3" t="s">
        <v>23</v>
      </c>
      <c r="C211" s="3" t="s">
        <v>128</v>
      </c>
      <c r="D211" s="7" t="s">
        <v>128</v>
      </c>
      <c r="F211" t="s">
        <v>7</v>
      </c>
      <c r="G211" s="7" t="s">
        <v>276</v>
      </c>
      <c r="H211" s="3" t="s">
        <v>174</v>
      </c>
      <c r="I211" s="3"/>
      <c r="J211" s="3"/>
      <c r="K211" s="7"/>
    </row>
    <row r="212" spans="1:11" ht="135" x14ac:dyDescent="0.25">
      <c r="A212" s="3" t="s">
        <v>72</v>
      </c>
      <c r="B212" s="3" t="s">
        <v>6</v>
      </c>
      <c r="C212" s="3" t="s">
        <v>72</v>
      </c>
      <c r="D212" s="7" t="s">
        <v>72</v>
      </c>
      <c r="F212" t="s">
        <v>9</v>
      </c>
      <c r="G212" s="7" t="s">
        <v>185</v>
      </c>
      <c r="H212" s="3" t="s">
        <v>174</v>
      </c>
      <c r="I212" s="3"/>
      <c r="J212" s="3" t="s">
        <v>172</v>
      </c>
      <c r="K212" s="7"/>
    </row>
    <row r="213" spans="1:11" x14ac:dyDescent="0.25">
      <c r="A213" s="3" t="s">
        <v>72</v>
      </c>
      <c r="B213" s="12" t="s">
        <v>6</v>
      </c>
      <c r="C213" s="3" t="s">
        <v>72</v>
      </c>
      <c r="D213" s="3" t="s">
        <v>72</v>
      </c>
      <c r="F213" s="3" t="s">
        <v>9</v>
      </c>
    </row>
    <row r="214" spans="1:11" ht="75" x14ac:dyDescent="0.25">
      <c r="A214" s="3" t="s">
        <v>80</v>
      </c>
      <c r="B214" s="3" t="s">
        <v>6</v>
      </c>
      <c r="C214" s="3" t="s">
        <v>80</v>
      </c>
      <c r="D214" s="7" t="s">
        <v>80</v>
      </c>
      <c r="F214" t="s">
        <v>9</v>
      </c>
      <c r="G214" s="7" t="s">
        <v>195</v>
      </c>
      <c r="H214" s="3" t="s">
        <v>174</v>
      </c>
      <c r="I214" s="3"/>
      <c r="J214" s="3" t="s">
        <v>172</v>
      </c>
      <c r="K214" s="7"/>
    </row>
    <row r="215" spans="1:11" ht="60" x14ac:dyDescent="0.25">
      <c r="A215" s="3" t="s">
        <v>82</v>
      </c>
      <c r="B215" s="15" t="s">
        <v>6</v>
      </c>
      <c r="C215" s="3" t="s">
        <v>82</v>
      </c>
      <c r="D215" s="7" t="s">
        <v>82</v>
      </c>
      <c r="F215" t="s">
        <v>9</v>
      </c>
      <c r="G215" s="7" t="s">
        <v>197</v>
      </c>
      <c r="H215" s="3" t="s">
        <v>174</v>
      </c>
      <c r="I215" s="3"/>
      <c r="J215" s="3" t="s">
        <v>172</v>
      </c>
      <c r="K215" s="7"/>
    </row>
    <row r="216" spans="1:11" ht="75" x14ac:dyDescent="0.25">
      <c r="A216" s="3" t="s">
        <v>92</v>
      </c>
      <c r="B216" s="15" t="s">
        <v>6</v>
      </c>
      <c r="C216" s="3" t="s">
        <v>92</v>
      </c>
      <c r="D216" s="7" t="s">
        <v>92</v>
      </c>
      <c r="F216" t="s">
        <v>9</v>
      </c>
      <c r="G216" s="7" t="s">
        <v>213</v>
      </c>
      <c r="H216" s="3" t="s">
        <v>209</v>
      </c>
      <c r="I216" s="3"/>
      <c r="J216" s="3" t="s">
        <v>172</v>
      </c>
      <c r="K216" s="7"/>
    </row>
    <row r="217" spans="1:11" ht="75" x14ac:dyDescent="0.25">
      <c r="A217" s="3" t="s">
        <v>88</v>
      </c>
      <c r="B217" s="3" t="s">
        <v>6</v>
      </c>
      <c r="C217" s="3" t="s">
        <v>88</v>
      </c>
      <c r="D217" s="7" t="s">
        <v>88</v>
      </c>
      <c r="F217" t="s">
        <v>9</v>
      </c>
      <c r="G217" s="7" t="s">
        <v>208</v>
      </c>
      <c r="H217" s="3" t="s">
        <v>209</v>
      </c>
      <c r="I217" s="3"/>
      <c r="J217" s="3" t="s">
        <v>172</v>
      </c>
      <c r="K217" s="7"/>
    </row>
    <row r="218" spans="1:11" ht="75" x14ac:dyDescent="0.25">
      <c r="A218" s="3" t="s">
        <v>90</v>
      </c>
      <c r="B218" s="3" t="s">
        <v>6</v>
      </c>
      <c r="C218" s="3" t="s">
        <v>90</v>
      </c>
      <c r="D218" s="7" t="s">
        <v>90</v>
      </c>
      <c r="F218" t="s">
        <v>9</v>
      </c>
      <c r="G218" s="7" t="s">
        <v>211</v>
      </c>
      <c r="H218" s="3" t="s">
        <v>209</v>
      </c>
      <c r="I218" s="3"/>
      <c r="J218" s="3" t="s">
        <v>172</v>
      </c>
      <c r="K218" s="7"/>
    </row>
    <row r="219" spans="1:11" ht="90" x14ac:dyDescent="0.25">
      <c r="A219" s="5" t="s">
        <v>319</v>
      </c>
      <c r="B219" t="s">
        <v>23</v>
      </c>
      <c r="C219" t="s">
        <v>158</v>
      </c>
      <c r="D219" s="5" t="s">
        <v>170</v>
      </c>
      <c r="F219" t="s">
        <v>7</v>
      </c>
      <c r="G219" s="5" t="s">
        <v>277</v>
      </c>
      <c r="J219" s="4" t="s">
        <v>278</v>
      </c>
      <c r="K219" s="5"/>
    </row>
    <row r="220" spans="1:11" x14ac:dyDescent="0.25">
      <c r="A220" t="s">
        <v>350</v>
      </c>
      <c r="B220" t="s">
        <v>38</v>
      </c>
      <c r="C220" t="s">
        <v>58</v>
      </c>
      <c r="D220" t="s">
        <v>313</v>
      </c>
      <c r="F220" t="s">
        <v>7</v>
      </c>
    </row>
    <row r="221" spans="1:11" x14ac:dyDescent="0.25">
      <c r="A221" t="s">
        <v>393</v>
      </c>
      <c r="B221" s="3" t="s">
        <v>23</v>
      </c>
      <c r="C221" s="5" t="s">
        <v>302</v>
      </c>
      <c r="D221" s="7" t="s">
        <v>310</v>
      </c>
      <c r="F221" t="s">
        <v>7</v>
      </c>
    </row>
    <row r="222" spans="1:11" x14ac:dyDescent="0.25">
      <c r="A222" t="s">
        <v>420</v>
      </c>
      <c r="B222" s="3" t="s">
        <v>6</v>
      </c>
      <c r="C222" s="3" t="s">
        <v>141</v>
      </c>
      <c r="D222" s="22" t="s">
        <v>141</v>
      </c>
    </row>
    <row r="223" spans="1:11" x14ac:dyDescent="0.25">
      <c r="A223" t="s">
        <v>562</v>
      </c>
      <c r="B223" s="3" t="s">
        <v>6</v>
      </c>
      <c r="C223" t="s">
        <v>78</v>
      </c>
      <c r="D223" t="s">
        <v>78</v>
      </c>
      <c r="F223" t="s">
        <v>9</v>
      </c>
      <c r="I223" t="s">
        <v>307</v>
      </c>
    </row>
    <row r="224" spans="1:11" ht="90" x14ac:dyDescent="0.25">
      <c r="A224" s="5" t="s">
        <v>319</v>
      </c>
      <c r="B224" t="s">
        <v>10</v>
      </c>
      <c r="C224" t="s">
        <v>158</v>
      </c>
      <c r="D224" s="5" t="s">
        <v>170</v>
      </c>
      <c r="F224" t="s">
        <v>7</v>
      </c>
      <c r="G224" s="5" t="s">
        <v>277</v>
      </c>
      <c r="J224" s="4" t="s">
        <v>278</v>
      </c>
      <c r="K224" s="5"/>
    </row>
    <row r="225" spans="1:9" x14ac:dyDescent="0.25">
      <c r="A225" t="s">
        <v>563</v>
      </c>
      <c r="B225" t="s">
        <v>23</v>
      </c>
      <c r="C225" t="s">
        <v>336</v>
      </c>
      <c r="D225" t="s">
        <v>336</v>
      </c>
      <c r="F225" t="s">
        <v>7</v>
      </c>
      <c r="I225" t="s">
        <v>307</v>
      </c>
    </row>
    <row r="226" spans="1:9" x14ac:dyDescent="0.25">
      <c r="A226" s="6" t="s">
        <v>564</v>
      </c>
      <c r="B226" s="3" t="s">
        <v>23</v>
      </c>
      <c r="C226" t="s">
        <v>332</v>
      </c>
      <c r="D226" s="5" t="s">
        <v>332</v>
      </c>
      <c r="F226" t="s">
        <v>7</v>
      </c>
      <c r="I226" t="s">
        <v>307</v>
      </c>
    </row>
    <row r="227" spans="1:9" ht="60" x14ac:dyDescent="0.25">
      <c r="A227" t="s">
        <v>565</v>
      </c>
      <c r="B227" t="s">
        <v>34</v>
      </c>
      <c r="C227" t="s">
        <v>565</v>
      </c>
      <c r="D227" t="s">
        <v>565</v>
      </c>
      <c r="F227" t="s">
        <v>9</v>
      </c>
      <c r="G227" s="23" t="s">
        <v>566</v>
      </c>
    </row>
    <row r="228" spans="1:9" ht="60" x14ac:dyDescent="0.25">
      <c r="A228" t="s">
        <v>565</v>
      </c>
      <c r="B228" t="s">
        <v>34</v>
      </c>
      <c r="C228" t="s">
        <v>565</v>
      </c>
      <c r="D228" t="s">
        <v>565</v>
      </c>
      <c r="F228" t="s">
        <v>7</v>
      </c>
      <c r="G228" s="23" t="s">
        <v>566</v>
      </c>
    </row>
    <row r="229" spans="1:9" x14ac:dyDescent="0.25">
      <c r="A229" t="s">
        <v>577</v>
      </c>
      <c r="B229" s="4" t="s">
        <v>10</v>
      </c>
      <c r="C229" t="s">
        <v>577</v>
      </c>
      <c r="D229" t="s">
        <v>577</v>
      </c>
      <c r="F229" t="s">
        <v>7</v>
      </c>
      <c r="I229" t="s">
        <v>307</v>
      </c>
    </row>
    <row r="230" spans="1:9" x14ac:dyDescent="0.25">
      <c r="A230" t="s">
        <v>577</v>
      </c>
      <c r="B230" s="4" t="s">
        <v>23</v>
      </c>
      <c r="C230" t="s">
        <v>577</v>
      </c>
      <c r="D230" t="s">
        <v>577</v>
      </c>
      <c r="F230" t="s">
        <v>7</v>
      </c>
      <c r="I230" t="s">
        <v>307</v>
      </c>
    </row>
    <row r="231" spans="1:9" x14ac:dyDescent="0.25">
      <c r="A231" t="s">
        <v>577</v>
      </c>
      <c r="B231" t="s">
        <v>38</v>
      </c>
      <c r="C231" t="s">
        <v>577</v>
      </c>
      <c r="D231" t="s">
        <v>577</v>
      </c>
      <c r="F231" t="s">
        <v>7</v>
      </c>
      <c r="I231" t="s">
        <v>307</v>
      </c>
    </row>
    <row r="232" spans="1:9" x14ac:dyDescent="0.25">
      <c r="A232" t="s">
        <v>568</v>
      </c>
      <c r="B232" t="s">
        <v>10</v>
      </c>
      <c r="C232" t="s">
        <v>571</v>
      </c>
      <c r="D232" t="s">
        <v>568</v>
      </c>
      <c r="F232" t="s">
        <v>7</v>
      </c>
    </row>
    <row r="233" spans="1:9" x14ac:dyDescent="0.25">
      <c r="A233" t="s">
        <v>568</v>
      </c>
      <c r="B233" t="s">
        <v>23</v>
      </c>
      <c r="C233" t="s">
        <v>571</v>
      </c>
      <c r="D233" t="s">
        <v>568</v>
      </c>
      <c r="F233" t="s">
        <v>7</v>
      </c>
    </row>
    <row r="234" spans="1:9" x14ac:dyDescent="0.25">
      <c r="A234" t="s">
        <v>569</v>
      </c>
      <c r="B234" t="s">
        <v>10</v>
      </c>
      <c r="C234" t="s">
        <v>572</v>
      </c>
      <c r="D234" t="s">
        <v>569</v>
      </c>
      <c r="F234" t="s">
        <v>7</v>
      </c>
    </row>
    <row r="235" spans="1:9" x14ac:dyDescent="0.25">
      <c r="A235" t="s">
        <v>569</v>
      </c>
      <c r="B235" t="s">
        <v>23</v>
      </c>
      <c r="C235" t="s">
        <v>572</v>
      </c>
      <c r="D235" t="s">
        <v>569</v>
      </c>
      <c r="F235" t="s">
        <v>7</v>
      </c>
    </row>
    <row r="236" spans="1:9" x14ac:dyDescent="0.25">
      <c r="A236" t="s">
        <v>570</v>
      </c>
      <c r="B236" t="s">
        <v>34</v>
      </c>
      <c r="C236" t="s">
        <v>573</v>
      </c>
      <c r="D236" t="s">
        <v>573</v>
      </c>
      <c r="F236" t="s">
        <v>7</v>
      </c>
    </row>
    <row r="237" spans="1:9" x14ac:dyDescent="0.25">
      <c r="A237" t="s">
        <v>570</v>
      </c>
      <c r="B237" t="s">
        <v>10</v>
      </c>
      <c r="C237" t="s">
        <v>573</v>
      </c>
      <c r="D237" t="s">
        <v>573</v>
      </c>
      <c r="F237" t="s">
        <v>7</v>
      </c>
    </row>
    <row r="238" spans="1:9" x14ac:dyDescent="0.25">
      <c r="A238" t="s">
        <v>570</v>
      </c>
      <c r="B238" t="s">
        <v>38</v>
      </c>
      <c r="C238" t="s">
        <v>573</v>
      </c>
      <c r="D238" t="s">
        <v>573</v>
      </c>
      <c r="F238" t="s">
        <v>7</v>
      </c>
    </row>
    <row r="239" spans="1:9" x14ac:dyDescent="0.25">
      <c r="A239" t="s">
        <v>570</v>
      </c>
      <c r="B239" t="s">
        <v>23</v>
      </c>
      <c r="C239" t="s">
        <v>573</v>
      </c>
      <c r="D239" t="s">
        <v>573</v>
      </c>
      <c r="F239" t="s">
        <v>7</v>
      </c>
    </row>
    <row r="240" spans="1:9" x14ac:dyDescent="0.25">
      <c r="A240" t="s">
        <v>590</v>
      </c>
      <c r="B240" t="s">
        <v>38</v>
      </c>
      <c r="C240" t="s">
        <v>576</v>
      </c>
      <c r="D240" t="s">
        <v>576</v>
      </c>
      <c r="F240" t="s">
        <v>7</v>
      </c>
    </row>
    <row r="241" spans="1:11" ht="60" x14ac:dyDescent="0.25">
      <c r="A241" t="s">
        <v>574</v>
      </c>
      <c r="B241" t="s">
        <v>6</v>
      </c>
      <c r="C241" t="s">
        <v>574</v>
      </c>
      <c r="D241" t="s">
        <v>574</v>
      </c>
      <c r="G241" s="5" t="s">
        <v>575</v>
      </c>
    </row>
    <row r="242" spans="1:11" x14ac:dyDescent="0.25">
      <c r="A242" t="s">
        <v>578</v>
      </c>
      <c r="B242" t="s">
        <v>10</v>
      </c>
      <c r="C242" t="s">
        <v>578</v>
      </c>
      <c r="D242" t="s">
        <v>578</v>
      </c>
      <c r="F242" t="s">
        <v>7</v>
      </c>
      <c r="I242" t="s">
        <v>307</v>
      </c>
    </row>
    <row r="243" spans="1:11" x14ac:dyDescent="0.25">
      <c r="A243" t="s">
        <v>578</v>
      </c>
      <c r="B243" t="s">
        <v>23</v>
      </c>
      <c r="C243" t="s">
        <v>578</v>
      </c>
      <c r="D243" t="s">
        <v>578</v>
      </c>
      <c r="F243" t="s">
        <v>7</v>
      </c>
      <c r="I243" t="s">
        <v>307</v>
      </c>
    </row>
    <row r="244" spans="1:11" x14ac:dyDescent="0.25">
      <c r="A244" t="s">
        <v>579</v>
      </c>
      <c r="B244" t="s">
        <v>10</v>
      </c>
      <c r="C244" t="s">
        <v>579</v>
      </c>
      <c r="D244" t="s">
        <v>579</v>
      </c>
      <c r="F244" t="s">
        <v>7</v>
      </c>
      <c r="I244" t="s">
        <v>307</v>
      </c>
    </row>
    <row r="245" spans="1:11" x14ac:dyDescent="0.25">
      <c r="A245" t="s">
        <v>579</v>
      </c>
      <c r="B245" t="s">
        <v>23</v>
      </c>
      <c r="C245" t="s">
        <v>579</v>
      </c>
      <c r="D245" t="s">
        <v>579</v>
      </c>
      <c r="F245" t="s">
        <v>7</v>
      </c>
      <c r="I245" t="s">
        <v>307</v>
      </c>
    </row>
    <row r="246" spans="1:11" x14ac:dyDescent="0.25">
      <c r="A246" t="s">
        <v>585</v>
      </c>
      <c r="B246" t="s">
        <v>6</v>
      </c>
      <c r="C246" t="s">
        <v>585</v>
      </c>
      <c r="D246" t="s">
        <v>585</v>
      </c>
      <c r="F246" t="s">
        <v>9</v>
      </c>
      <c r="G246" t="s">
        <v>582</v>
      </c>
      <c r="I246" t="s">
        <v>307</v>
      </c>
    </row>
    <row r="247" spans="1:11" x14ac:dyDescent="0.25">
      <c r="A247" t="s">
        <v>586</v>
      </c>
      <c r="B247" t="s">
        <v>6</v>
      </c>
      <c r="C247" t="s">
        <v>586</v>
      </c>
      <c r="D247" t="s">
        <v>586</v>
      </c>
      <c r="F247" t="s">
        <v>7</v>
      </c>
      <c r="G247" t="s">
        <v>582</v>
      </c>
      <c r="I247" t="s">
        <v>307</v>
      </c>
    </row>
    <row r="248" spans="1:11" x14ac:dyDescent="0.25">
      <c r="A248" t="s">
        <v>580</v>
      </c>
      <c r="B248" t="s">
        <v>10</v>
      </c>
      <c r="C248" t="s">
        <v>581</v>
      </c>
      <c r="D248" t="s">
        <v>581</v>
      </c>
      <c r="F248" t="s">
        <v>7</v>
      </c>
      <c r="G248" t="s">
        <v>582</v>
      </c>
      <c r="I248" t="s">
        <v>307</v>
      </c>
    </row>
    <row r="249" spans="1:11" x14ac:dyDescent="0.25">
      <c r="A249" t="s">
        <v>580</v>
      </c>
      <c r="B249" t="s">
        <v>23</v>
      </c>
      <c r="C249" t="s">
        <v>581</v>
      </c>
      <c r="D249" t="s">
        <v>581</v>
      </c>
      <c r="F249" t="s">
        <v>7</v>
      </c>
      <c r="G249" t="s">
        <v>582</v>
      </c>
      <c r="I249" t="s">
        <v>307</v>
      </c>
    </row>
    <row r="250" spans="1:11" ht="45" x14ac:dyDescent="0.25">
      <c r="A250" s="5" t="s">
        <v>587</v>
      </c>
      <c r="B250" t="s">
        <v>38</v>
      </c>
      <c r="C250" t="s">
        <v>588</v>
      </c>
      <c r="D250" t="s">
        <v>588</v>
      </c>
      <c r="F250" t="s">
        <v>7</v>
      </c>
      <c r="G250" s="5" t="s">
        <v>589</v>
      </c>
      <c r="H250" t="s">
        <v>174</v>
      </c>
      <c r="J250" s="4" t="s">
        <v>172</v>
      </c>
      <c r="K250" s="5"/>
    </row>
    <row r="251" spans="1:11" x14ac:dyDescent="0.25">
      <c r="A251" s="3" t="s">
        <v>63</v>
      </c>
      <c r="B251" t="s">
        <v>23</v>
      </c>
      <c r="C251" s="3" t="s">
        <v>63</v>
      </c>
      <c r="D251" s="7" t="s">
        <v>63</v>
      </c>
    </row>
    <row r="252" spans="1:11" x14ac:dyDescent="0.25">
      <c r="A252" s="3" t="s">
        <v>65</v>
      </c>
      <c r="B252" t="s">
        <v>23</v>
      </c>
      <c r="C252" s="3" t="s">
        <v>65</v>
      </c>
      <c r="D252" s="7" t="s">
        <v>65</v>
      </c>
    </row>
    <row r="253" spans="1:11" x14ac:dyDescent="0.25">
      <c r="A253" s="3" t="s">
        <v>67</v>
      </c>
      <c r="B253" t="s">
        <v>23</v>
      </c>
      <c r="C253" s="3" t="s">
        <v>67</v>
      </c>
      <c r="D253" s="7" t="s">
        <v>67</v>
      </c>
    </row>
    <row r="254" spans="1:11" x14ac:dyDescent="0.25">
      <c r="A254" s="3" t="s">
        <v>68</v>
      </c>
      <c r="B254" t="s">
        <v>23</v>
      </c>
      <c r="C254" s="3" t="s">
        <v>68</v>
      </c>
      <c r="D254" s="7" t="s">
        <v>68</v>
      </c>
    </row>
    <row r="255" spans="1:11" x14ac:dyDescent="0.25">
      <c r="A255" s="3" t="s">
        <v>89</v>
      </c>
      <c r="B255" t="s">
        <v>23</v>
      </c>
      <c r="C255" s="3" t="s">
        <v>89</v>
      </c>
      <c r="D255" s="7" t="s">
        <v>89</v>
      </c>
    </row>
    <row r="256" spans="1:11" x14ac:dyDescent="0.25">
      <c r="A256" s="3" t="s">
        <v>94</v>
      </c>
      <c r="B256" t="s">
        <v>23</v>
      </c>
      <c r="C256" s="3" t="s">
        <v>94</v>
      </c>
      <c r="D256" s="7" t="s">
        <v>94</v>
      </c>
    </row>
    <row r="257" spans="1:9" x14ac:dyDescent="0.25">
      <c r="A257" s="3" t="s">
        <v>95</v>
      </c>
      <c r="B257" t="s">
        <v>23</v>
      </c>
      <c r="C257" s="3" t="s">
        <v>95</v>
      </c>
      <c r="D257" s="7" t="s">
        <v>95</v>
      </c>
    </row>
    <row r="258" spans="1:9" x14ac:dyDescent="0.25">
      <c r="A258" s="3" t="s">
        <v>96</v>
      </c>
      <c r="B258" t="s">
        <v>23</v>
      </c>
      <c r="C258" s="3" t="s">
        <v>96</v>
      </c>
      <c r="D258" s="7" t="s">
        <v>96</v>
      </c>
    </row>
    <row r="259" spans="1:9" x14ac:dyDescent="0.25">
      <c r="A259" s="3" t="s">
        <v>97</v>
      </c>
      <c r="B259" t="s">
        <v>23</v>
      </c>
      <c r="C259" s="3" t="s">
        <v>97</v>
      </c>
      <c r="D259" s="7" t="s">
        <v>97</v>
      </c>
    </row>
    <row r="260" spans="1:9" x14ac:dyDescent="0.25">
      <c r="A260" s="3" t="s">
        <v>64</v>
      </c>
      <c r="B260" t="s">
        <v>23</v>
      </c>
      <c r="C260" s="3" t="s">
        <v>64</v>
      </c>
      <c r="D260" s="7" t="s">
        <v>64</v>
      </c>
    </row>
    <row r="261" spans="1:9" x14ac:dyDescent="0.25">
      <c r="A261" s="3" t="s">
        <v>66</v>
      </c>
      <c r="B261" t="s">
        <v>23</v>
      </c>
      <c r="C261" s="3" t="s">
        <v>66</v>
      </c>
      <c r="D261" s="7" t="s">
        <v>66</v>
      </c>
    </row>
    <row r="262" spans="1:9" x14ac:dyDescent="0.25">
      <c r="A262" s="3" t="s">
        <v>90</v>
      </c>
      <c r="B262" t="s">
        <v>23</v>
      </c>
      <c r="C262" s="3" t="s">
        <v>90</v>
      </c>
      <c r="D262" s="7" t="s">
        <v>90</v>
      </c>
    </row>
    <row r="263" spans="1:9" x14ac:dyDescent="0.25">
      <c r="A263" t="s">
        <v>420</v>
      </c>
      <c r="B263" t="s">
        <v>23</v>
      </c>
      <c r="C263" s="3" t="s">
        <v>141</v>
      </c>
      <c r="D263" s="22" t="s">
        <v>141</v>
      </c>
    </row>
    <row r="264" spans="1:9" x14ac:dyDescent="0.25">
      <c r="A264" t="s">
        <v>591</v>
      </c>
      <c r="B264" t="s">
        <v>10</v>
      </c>
      <c r="C264" t="s">
        <v>591</v>
      </c>
      <c r="D264" t="s">
        <v>591</v>
      </c>
      <c r="F264" t="s">
        <v>7</v>
      </c>
      <c r="I264" t="s">
        <v>307</v>
      </c>
    </row>
    <row r="265" spans="1:9" x14ac:dyDescent="0.25">
      <c r="A265" t="s">
        <v>591</v>
      </c>
      <c r="B265" t="s">
        <v>23</v>
      </c>
      <c r="C265" t="s">
        <v>591</v>
      </c>
      <c r="D265" t="s">
        <v>591</v>
      </c>
      <c r="F265" t="s">
        <v>7</v>
      </c>
      <c r="I265" t="s">
        <v>307</v>
      </c>
    </row>
    <row r="266" spans="1:9" x14ac:dyDescent="0.25">
      <c r="A266" t="s">
        <v>597</v>
      </c>
      <c r="B266" t="s">
        <v>6</v>
      </c>
      <c r="C266" t="s">
        <v>597</v>
      </c>
      <c r="D266" t="s">
        <v>597</v>
      </c>
      <c r="F266" t="s">
        <v>9</v>
      </c>
    </row>
    <row r="267" spans="1:9" x14ac:dyDescent="0.25">
      <c r="A267" t="s">
        <v>598</v>
      </c>
      <c r="B267" t="s">
        <v>6</v>
      </c>
      <c r="C267" t="s">
        <v>598</v>
      </c>
      <c r="D267" t="s">
        <v>598</v>
      </c>
      <c r="F267" t="s">
        <v>9</v>
      </c>
    </row>
    <row r="268" spans="1:9" x14ac:dyDescent="0.25">
      <c r="A268" t="s">
        <v>608</v>
      </c>
      <c r="B268" t="s">
        <v>6</v>
      </c>
      <c r="C268" t="s">
        <v>608</v>
      </c>
      <c r="D268" t="s">
        <v>608</v>
      </c>
      <c r="F268" t="s">
        <v>9</v>
      </c>
    </row>
    <row r="269" spans="1:9" x14ac:dyDescent="0.25">
      <c r="A269" t="s">
        <v>603</v>
      </c>
      <c r="B269" t="s">
        <v>6</v>
      </c>
      <c r="C269" t="s">
        <v>603</v>
      </c>
      <c r="D269" t="s">
        <v>603</v>
      </c>
      <c r="F269" t="s">
        <v>9</v>
      </c>
    </row>
    <row r="270" spans="1:9" x14ac:dyDescent="0.25">
      <c r="A270" t="s">
        <v>599</v>
      </c>
      <c r="B270" t="s">
        <v>6</v>
      </c>
      <c r="C270" t="s">
        <v>599</v>
      </c>
      <c r="D270" t="s">
        <v>599</v>
      </c>
      <c r="F270" t="s">
        <v>7</v>
      </c>
    </row>
    <row r="271" spans="1:9" x14ac:dyDescent="0.25">
      <c r="A271" t="s">
        <v>600</v>
      </c>
      <c r="B271" t="s">
        <v>6</v>
      </c>
      <c r="C271" t="s">
        <v>600</v>
      </c>
      <c r="D271" t="s">
        <v>600</v>
      </c>
      <c r="F271" t="s">
        <v>7</v>
      </c>
    </row>
    <row r="272" spans="1:9" x14ac:dyDescent="0.25">
      <c r="A272" t="s">
        <v>601</v>
      </c>
      <c r="B272" t="s">
        <v>6</v>
      </c>
      <c r="C272" t="s">
        <v>601</v>
      </c>
      <c r="D272" t="s">
        <v>601</v>
      </c>
      <c r="F272" t="s">
        <v>7</v>
      </c>
    </row>
    <row r="273" spans="1:11" x14ac:dyDescent="0.25">
      <c r="A273" t="s">
        <v>602</v>
      </c>
      <c r="B273" t="s">
        <v>6</v>
      </c>
      <c r="C273" t="s">
        <v>602</v>
      </c>
      <c r="D273" t="s">
        <v>602</v>
      </c>
      <c r="F273" t="s">
        <v>7</v>
      </c>
    </row>
    <row r="274" spans="1:11" x14ac:dyDescent="0.25">
      <c r="A274" t="s">
        <v>604</v>
      </c>
      <c r="B274" t="s">
        <v>6</v>
      </c>
      <c r="C274" t="s">
        <v>604</v>
      </c>
      <c r="D274" t="s">
        <v>604</v>
      </c>
      <c r="F274" t="s">
        <v>9</v>
      </c>
    </row>
    <row r="275" spans="1:11" x14ac:dyDescent="0.25">
      <c r="A275" t="s">
        <v>605</v>
      </c>
      <c r="B275" t="s">
        <v>6</v>
      </c>
      <c r="C275" t="s">
        <v>605</v>
      </c>
      <c r="D275" t="s">
        <v>605</v>
      </c>
      <c r="F275" t="s">
        <v>9</v>
      </c>
    </row>
    <row r="276" spans="1:11" x14ac:dyDescent="0.25">
      <c r="A276" t="s">
        <v>606</v>
      </c>
      <c r="B276" t="s">
        <v>6</v>
      </c>
      <c r="C276" t="s">
        <v>606</v>
      </c>
      <c r="D276" t="s">
        <v>606</v>
      </c>
      <c r="F276" t="s">
        <v>9</v>
      </c>
    </row>
    <row r="277" spans="1:11" x14ac:dyDescent="0.25">
      <c r="A277" t="s">
        <v>592</v>
      </c>
      <c r="B277" t="s">
        <v>23</v>
      </c>
      <c r="C277" t="s">
        <v>592</v>
      </c>
      <c r="D277" t="s">
        <v>592</v>
      </c>
      <c r="F277" t="s">
        <v>7</v>
      </c>
      <c r="I277" t="s">
        <v>307</v>
      </c>
    </row>
    <row r="278" spans="1:11" x14ac:dyDescent="0.25">
      <c r="A278" t="s">
        <v>596</v>
      </c>
      <c r="B278" t="s">
        <v>23</v>
      </c>
      <c r="C278" t="s">
        <v>595</v>
      </c>
      <c r="D278" t="s">
        <v>593</v>
      </c>
      <c r="F278" t="s">
        <v>7</v>
      </c>
      <c r="I278" t="s">
        <v>307</v>
      </c>
    </row>
    <row r="279" spans="1:11" x14ac:dyDescent="0.25">
      <c r="A279" t="s">
        <v>594</v>
      </c>
      <c r="B279" t="s">
        <v>23</v>
      </c>
      <c r="C279" t="s">
        <v>594</v>
      </c>
      <c r="D279" t="s">
        <v>594</v>
      </c>
      <c r="F279" t="s">
        <v>7</v>
      </c>
      <c r="I279" t="s">
        <v>307</v>
      </c>
    </row>
    <row r="280" spans="1:11" x14ac:dyDescent="0.25">
      <c r="A280" t="s">
        <v>592</v>
      </c>
      <c r="B280" t="s">
        <v>10</v>
      </c>
      <c r="C280" t="s">
        <v>592</v>
      </c>
      <c r="D280" t="s">
        <v>592</v>
      </c>
      <c r="F280" t="s">
        <v>7</v>
      </c>
      <c r="I280" t="s">
        <v>307</v>
      </c>
    </row>
    <row r="281" spans="1:11" x14ac:dyDescent="0.25">
      <c r="A281" t="s">
        <v>596</v>
      </c>
      <c r="B281" t="s">
        <v>10</v>
      </c>
      <c r="C281" t="s">
        <v>595</v>
      </c>
      <c r="D281" t="s">
        <v>593</v>
      </c>
      <c r="F281" t="s">
        <v>7</v>
      </c>
      <c r="I281" t="s">
        <v>307</v>
      </c>
    </row>
    <row r="282" spans="1:11" x14ac:dyDescent="0.25">
      <c r="A282" t="s">
        <v>594</v>
      </c>
      <c r="B282" t="s">
        <v>10</v>
      </c>
      <c r="C282" t="s">
        <v>594</v>
      </c>
      <c r="D282" t="s">
        <v>594</v>
      </c>
      <c r="F282" t="s">
        <v>7</v>
      </c>
      <c r="I282" t="s">
        <v>307</v>
      </c>
    </row>
    <row r="283" spans="1:11" x14ac:dyDescent="0.25">
      <c r="A283" s="5" t="s">
        <v>294</v>
      </c>
      <c r="B283" s="12" t="s">
        <v>15</v>
      </c>
      <c r="F283" t="s">
        <v>7</v>
      </c>
    </row>
    <row r="284" spans="1:11" x14ac:dyDescent="0.25">
      <c r="A284" t="s">
        <v>13</v>
      </c>
      <c r="B284" t="s">
        <v>15</v>
      </c>
      <c r="C284" t="s">
        <v>41</v>
      </c>
      <c r="D284" s="5" t="s">
        <v>41</v>
      </c>
      <c r="F284" t="s">
        <v>7</v>
      </c>
      <c r="G284" s="6" t="s">
        <v>135</v>
      </c>
      <c r="J284" s="4" t="s">
        <v>172</v>
      </c>
      <c r="K284" s="5"/>
    </row>
    <row r="285" spans="1:11" x14ac:dyDescent="0.25">
      <c r="A285" s="3" t="s">
        <v>396</v>
      </c>
      <c r="B285" s="12" t="s">
        <v>15</v>
      </c>
      <c r="C285" s="3" t="s">
        <v>297</v>
      </c>
      <c r="D285" s="7" t="s">
        <v>296</v>
      </c>
      <c r="F285" t="s">
        <v>7</v>
      </c>
    </row>
    <row r="286" spans="1:11" x14ac:dyDescent="0.25">
      <c r="A286" s="3" t="s">
        <v>397</v>
      </c>
      <c r="B286" s="12" t="s">
        <v>15</v>
      </c>
      <c r="C286" s="7" t="s">
        <v>295</v>
      </c>
      <c r="D286" s="3" t="s">
        <v>295</v>
      </c>
      <c r="F286" t="s">
        <v>7</v>
      </c>
    </row>
    <row r="287" spans="1:11" x14ac:dyDescent="0.25">
      <c r="A287" t="s">
        <v>609</v>
      </c>
      <c r="B287" t="s">
        <v>23</v>
      </c>
      <c r="C287" t="s">
        <v>609</v>
      </c>
      <c r="D287" t="s">
        <v>609</v>
      </c>
      <c r="I287" t="s">
        <v>307</v>
      </c>
    </row>
    <row r="288" spans="1:11" x14ac:dyDescent="0.25">
      <c r="A288" t="s">
        <v>609</v>
      </c>
      <c r="B288" t="s">
        <v>10</v>
      </c>
      <c r="C288" t="s">
        <v>609</v>
      </c>
      <c r="D288" t="s">
        <v>609</v>
      </c>
      <c r="I288" t="s">
        <v>307</v>
      </c>
    </row>
    <row r="289" spans="1:11" x14ac:dyDescent="0.25">
      <c r="A289" t="s">
        <v>394</v>
      </c>
      <c r="B289" t="s">
        <v>23</v>
      </c>
      <c r="C289" t="s">
        <v>610</v>
      </c>
      <c r="D289" t="s">
        <v>610</v>
      </c>
    </row>
    <row r="290" spans="1:11" x14ac:dyDescent="0.25">
      <c r="A290" t="s">
        <v>611</v>
      </c>
      <c r="B290" t="s">
        <v>23</v>
      </c>
      <c r="C290" t="s">
        <v>611</v>
      </c>
      <c r="D290" t="s">
        <v>611</v>
      </c>
      <c r="I290" t="s">
        <v>307</v>
      </c>
    </row>
    <row r="291" spans="1:11" x14ac:dyDescent="0.25">
      <c r="A291" s="7" t="s">
        <v>129</v>
      </c>
      <c r="B291" t="s">
        <v>23</v>
      </c>
      <c r="C291" t="s">
        <v>145</v>
      </c>
      <c r="D291" t="s">
        <v>145</v>
      </c>
    </row>
    <row r="292" spans="1:11" x14ac:dyDescent="0.25">
      <c r="A292" s="7" t="s">
        <v>130</v>
      </c>
      <c r="B292" t="s">
        <v>23</v>
      </c>
      <c r="C292" t="s">
        <v>146</v>
      </c>
      <c r="D292" t="s">
        <v>146</v>
      </c>
    </row>
    <row r="293" spans="1:11" x14ac:dyDescent="0.25">
      <c r="A293" t="s">
        <v>298</v>
      </c>
      <c r="B293" t="s">
        <v>38</v>
      </c>
      <c r="C293" t="s">
        <v>612</v>
      </c>
      <c r="D293" t="s">
        <v>612</v>
      </c>
    </row>
    <row r="294" spans="1:11" x14ac:dyDescent="0.25">
      <c r="A294" t="s">
        <v>578</v>
      </c>
      <c r="B294" t="s">
        <v>38</v>
      </c>
      <c r="C294" t="s">
        <v>578</v>
      </c>
      <c r="D294" t="s">
        <v>578</v>
      </c>
      <c r="F294" t="s">
        <v>7</v>
      </c>
    </row>
    <row r="295" spans="1:11" x14ac:dyDescent="0.25">
      <c r="A295" t="s">
        <v>613</v>
      </c>
      <c r="B295" t="s">
        <v>6</v>
      </c>
      <c r="C295" t="s">
        <v>613</v>
      </c>
      <c r="D295" t="s">
        <v>613</v>
      </c>
      <c r="F295" t="s">
        <v>9</v>
      </c>
    </row>
    <row r="296" spans="1:11" x14ac:dyDescent="0.25">
      <c r="A296" t="s">
        <v>614</v>
      </c>
      <c r="B296" t="s">
        <v>6</v>
      </c>
      <c r="C296" t="s">
        <v>614</v>
      </c>
      <c r="D296" t="s">
        <v>614</v>
      </c>
      <c r="F296" t="s">
        <v>7</v>
      </c>
    </row>
    <row r="297" spans="1:11" ht="45" x14ac:dyDescent="0.25">
      <c r="A297" s="5" t="s">
        <v>615</v>
      </c>
      <c r="B297" t="s">
        <v>38</v>
      </c>
      <c r="C297" t="s">
        <v>616</v>
      </c>
      <c r="D297" t="s">
        <v>616</v>
      </c>
      <c r="F297" t="s">
        <v>7</v>
      </c>
      <c r="G297" s="5" t="s">
        <v>617</v>
      </c>
      <c r="H297" t="s">
        <v>174</v>
      </c>
      <c r="J297" s="4" t="s">
        <v>172</v>
      </c>
      <c r="K297" s="5"/>
    </row>
  </sheetData>
  <autoFilter ref="A1:K297" xr:uid="{00000000-0009-0000-0000-000001000000}"/>
  <sortState xmlns:xlrd2="http://schemas.microsoft.com/office/spreadsheetml/2017/richdata2" ref="A2:E99">
    <sortCondition ref="B2:B99"/>
    <sortCondition ref="A2:A99"/>
  </sortState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320"/>
  <sheetViews>
    <sheetView workbookViewId="0">
      <selection activeCell="B354" sqref="B354"/>
    </sheetView>
  </sheetViews>
  <sheetFormatPr defaultRowHeight="15" x14ac:dyDescent="0.25"/>
  <cols>
    <col min="2" max="2" width="52.5703125" bestFit="1" customWidth="1"/>
  </cols>
  <sheetData>
    <row r="1" spans="1:3" x14ac:dyDescent="0.25">
      <c r="A1" t="s">
        <v>338</v>
      </c>
      <c r="B1" t="s">
        <v>339</v>
      </c>
    </row>
    <row r="2" spans="1:3" hidden="1" x14ac:dyDescent="0.25">
      <c r="A2">
        <v>1027</v>
      </c>
      <c r="B2" t="s">
        <v>50</v>
      </c>
      <c r="C2" t="str">
        <f>VLOOKUP(B2,'Order Last Event Mapping'!A:A,1,FALSE)</f>
        <v>1st eRx Attempt</v>
      </c>
    </row>
    <row r="3" spans="1:3" hidden="1" x14ac:dyDescent="0.25">
      <c r="A3">
        <v>793</v>
      </c>
      <c r="B3" t="s">
        <v>31</v>
      </c>
      <c r="C3" t="str">
        <f>VLOOKUP(B3,'Order Last Event Mapping'!A:A,1,FALSE)</f>
        <v>1st Fax Attempt</v>
      </c>
    </row>
    <row r="4" spans="1:3" hidden="1" x14ac:dyDescent="0.25">
      <c r="A4">
        <v>786</v>
      </c>
      <c r="B4" t="s">
        <v>26</v>
      </c>
      <c r="C4" t="str">
        <f>VLOOKUP(B4,'Order Last Event Mapping'!A:A,1,FALSE)</f>
        <v>1st Scheduling Attempt</v>
      </c>
    </row>
    <row r="5" spans="1:3" hidden="1" x14ac:dyDescent="0.25">
      <c r="A5">
        <v>1068</v>
      </c>
      <c r="B5" t="s">
        <v>57</v>
      </c>
      <c r="C5" t="str">
        <f>VLOOKUP(B5,'Order Last Event Mapping'!A:A,1,FALSE)</f>
        <v>2nd eRx Attempt</v>
      </c>
    </row>
    <row r="6" spans="1:3" hidden="1" x14ac:dyDescent="0.25">
      <c r="A6">
        <v>794</v>
      </c>
      <c r="B6" t="s">
        <v>32</v>
      </c>
      <c r="C6" t="str">
        <f>VLOOKUP(B6,'Order Last Event Mapping'!A:A,1,FALSE)</f>
        <v>2nd Fax Attempt</v>
      </c>
    </row>
    <row r="7" spans="1:3" hidden="1" x14ac:dyDescent="0.25">
      <c r="A7">
        <v>787</v>
      </c>
      <c r="B7" t="s">
        <v>27</v>
      </c>
      <c r="C7" t="str">
        <f>VLOOKUP(B7,'Order Last Event Mapping'!A:A,1,FALSE)</f>
        <v>2nd Scheduling Attempt</v>
      </c>
    </row>
    <row r="8" spans="1:3" hidden="1" x14ac:dyDescent="0.25">
      <c r="A8">
        <v>788</v>
      </c>
      <c r="B8" t="s">
        <v>28</v>
      </c>
      <c r="C8" t="str">
        <f>VLOOKUP(B8,'Order Last Event Mapping'!A:A,1,FALSE)</f>
        <v>3rd Scheduling Attempt</v>
      </c>
    </row>
    <row r="9" spans="1:3" hidden="1" x14ac:dyDescent="0.25">
      <c r="A9">
        <v>791</v>
      </c>
      <c r="B9" t="s">
        <v>29</v>
      </c>
      <c r="C9" t="str">
        <f>VLOOKUP(B9,'Order Last Event Mapping'!A:A,1,FALSE)</f>
        <v>4th Scheduling Attempt</v>
      </c>
    </row>
    <row r="10" spans="1:3" hidden="1" x14ac:dyDescent="0.25">
      <c r="A10">
        <v>1069</v>
      </c>
      <c r="B10" t="s">
        <v>124</v>
      </c>
      <c r="C10" t="str">
        <f>VLOOKUP(B10,'Order Last Event Mapping'!A:A,1,FALSE)</f>
        <v>5th Scheduling Attempt</v>
      </c>
    </row>
    <row r="11" spans="1:3" hidden="1" x14ac:dyDescent="0.25">
      <c r="A11">
        <v>1070</v>
      </c>
      <c r="B11" t="s">
        <v>56</v>
      </c>
      <c r="C11" t="str">
        <f>VLOOKUP(B11,'Order Last Event Mapping'!A:A,1,FALSE)</f>
        <v>6th Scheduling Attempt</v>
      </c>
    </row>
    <row r="12" spans="1:3" hidden="1" x14ac:dyDescent="0.25">
      <c r="A12">
        <v>683</v>
      </c>
      <c r="B12" t="s">
        <v>340</v>
      </c>
      <c r="C12" t="e">
        <f>VLOOKUP(B12,'Order Last Event Mapping'!A:A,1,FALSE)</f>
        <v>#N/A</v>
      </c>
    </row>
    <row r="13" spans="1:3" hidden="1" x14ac:dyDescent="0.25">
      <c r="A13">
        <v>1021</v>
      </c>
      <c r="B13" t="s">
        <v>341</v>
      </c>
      <c r="C13" t="e">
        <f>VLOOKUP(B13,'Order Last Event Mapping'!A:A,1,FALSE)</f>
        <v>#N/A</v>
      </c>
    </row>
    <row r="14" spans="1:3" hidden="1" x14ac:dyDescent="0.25">
      <c r="A14">
        <v>1022</v>
      </c>
      <c r="B14" t="s">
        <v>342</v>
      </c>
      <c r="C14" t="e">
        <f>VLOOKUP(B14,'Order Last Event Mapping'!A:A,1,FALSE)</f>
        <v>#N/A</v>
      </c>
    </row>
    <row r="15" spans="1:3" hidden="1" x14ac:dyDescent="0.25">
      <c r="A15">
        <v>784</v>
      </c>
      <c r="B15" t="s">
        <v>55</v>
      </c>
      <c r="C15" t="str">
        <f>VLOOKUP(B15,'Order Last Event Mapping'!A:A,1,FALSE)</f>
        <v>Call to schedule</v>
      </c>
    </row>
    <row r="16" spans="1:3" hidden="1" x14ac:dyDescent="0.25">
      <c r="A16">
        <v>805</v>
      </c>
      <c r="B16" t="s">
        <v>39</v>
      </c>
      <c r="C16" t="str">
        <f>VLOOKUP(B16,'Order Last Event Mapping'!A:A,1,FALSE)</f>
        <v>Called and left message with MDO rep</v>
      </c>
    </row>
    <row r="17" spans="1:3" hidden="1" x14ac:dyDescent="0.25">
      <c r="A17">
        <v>800</v>
      </c>
      <c r="B17" t="s">
        <v>33</v>
      </c>
      <c r="C17" t="str">
        <f>VLOOKUP(B17,'Order Last Event Mapping'!A:A,1,FALSE)</f>
        <v>Called and left Voicemail</v>
      </c>
    </row>
    <row r="18" spans="1:3" hidden="1" x14ac:dyDescent="0.25">
      <c r="A18">
        <v>789</v>
      </c>
      <c r="B18" t="s">
        <v>343</v>
      </c>
      <c r="C18" t="str">
        <f>VLOOKUP(B18,'Order Last Event Mapping'!A:A,1,FALSE)</f>
        <v>Clarification Needed</v>
      </c>
    </row>
    <row r="19" spans="1:3" hidden="1" x14ac:dyDescent="0.25">
      <c r="A19">
        <v>879</v>
      </c>
      <c r="B19" t="s">
        <v>344</v>
      </c>
      <c r="C19" t="e">
        <f>VLOOKUP(B19,'Order Last Event Mapping'!A:A,1,FALSE)</f>
        <v>#N/A</v>
      </c>
    </row>
    <row r="20" spans="1:3" hidden="1" x14ac:dyDescent="0.25">
      <c r="A20">
        <v>724</v>
      </c>
      <c r="B20" t="s">
        <v>345</v>
      </c>
      <c r="C20" t="e">
        <f>VLOOKUP(B20,'Order Last Event Mapping'!A:A,1,FALSE)</f>
        <v>#N/A</v>
      </c>
    </row>
    <row r="21" spans="1:3" hidden="1" x14ac:dyDescent="0.25">
      <c r="A21">
        <v>660</v>
      </c>
      <c r="B21" t="s">
        <v>346</v>
      </c>
      <c r="C21" t="e">
        <f>VLOOKUP(B21,'Order Last Event Mapping'!A:A,1,FALSE)</f>
        <v>#N/A</v>
      </c>
    </row>
    <row r="22" spans="1:3" hidden="1" x14ac:dyDescent="0.25">
      <c r="A22">
        <v>903</v>
      </c>
      <c r="B22" t="s">
        <v>347</v>
      </c>
      <c r="C22" t="e">
        <f>VLOOKUP(B22,'Order Last Event Mapping'!A:A,1,FALSE)</f>
        <v>#N/A</v>
      </c>
    </row>
    <row r="23" spans="1:3" hidden="1" x14ac:dyDescent="0.25">
      <c r="A23">
        <v>844</v>
      </c>
      <c r="B23" t="s">
        <v>348</v>
      </c>
      <c r="C23" t="e">
        <f>VLOOKUP(B23,'Order Last Event Mapping'!A:A,1,FALSE)</f>
        <v>#N/A</v>
      </c>
    </row>
    <row r="24" spans="1:3" hidden="1" x14ac:dyDescent="0.25">
      <c r="A24">
        <v>1051</v>
      </c>
      <c r="B24" t="s">
        <v>121</v>
      </c>
      <c r="C24" t="str">
        <f>VLOOKUP(B24,'Order Last Event Mapping'!A:A,1,FALSE)</f>
        <v>Discontinue Rx</v>
      </c>
    </row>
    <row r="25" spans="1:3" hidden="1" x14ac:dyDescent="0.25">
      <c r="A25">
        <v>1044</v>
      </c>
      <c r="B25" t="s">
        <v>151</v>
      </c>
      <c r="C25" t="str">
        <f>VLOOKUP(B25,'Order Last Event Mapping'!A:A,1,FALSE)</f>
        <v>Drug on Hand - Dose Decrease</v>
      </c>
    </row>
    <row r="26" spans="1:3" hidden="1" x14ac:dyDescent="0.25">
      <c r="A26">
        <v>1043</v>
      </c>
      <c r="B26" s="17" t="s">
        <v>152</v>
      </c>
      <c r="C26" t="str">
        <f>VLOOKUP(B26,'Order Last Event Mapping'!A:A,1,FALSE)</f>
        <v>Drug on Hand - Dose Increase</v>
      </c>
    </row>
    <row r="27" spans="1:3" hidden="1" x14ac:dyDescent="0.25">
      <c r="A27">
        <v>1045</v>
      </c>
      <c r="B27" t="s">
        <v>328</v>
      </c>
      <c r="C27" t="str">
        <f>VLOOKUP(B27,'Order Last Event Mapping'!A:A,1,FALSE)</f>
        <v>Drug on Hand - Drug on Hold</v>
      </c>
    </row>
    <row r="28" spans="1:3" hidden="1" x14ac:dyDescent="0.25">
      <c r="A28">
        <v>1089</v>
      </c>
      <c r="B28" s="17" t="s">
        <v>335</v>
      </c>
      <c r="C28" t="str">
        <f>VLOOKUP(B28,'Order Last Event Mapping'!A:A,1,FALSE)</f>
        <v>Drug on Hand - Lab/ Testing</v>
      </c>
    </row>
    <row r="29" spans="1:3" hidden="1" x14ac:dyDescent="0.25">
      <c r="A29">
        <v>1090</v>
      </c>
      <c r="B29" s="17" t="s">
        <v>336</v>
      </c>
      <c r="C29" t="str">
        <f>VLOOKUP(B29,'Order Last Event Mapping'!A:A,1,FALSE)</f>
        <v>Drug on Hand - Medical Reason</v>
      </c>
    </row>
    <row r="30" spans="1:3" hidden="1" x14ac:dyDescent="0.25">
      <c r="A30">
        <v>1081</v>
      </c>
      <c r="B30" t="s">
        <v>332</v>
      </c>
      <c r="C30" t="str">
        <f>VLOOKUP(B30,'Order Last Event Mapping'!A:A,1,FALSE)</f>
        <v>Drug on Hand - Other</v>
      </c>
    </row>
    <row r="31" spans="1:3" hidden="1" x14ac:dyDescent="0.25">
      <c r="A31">
        <v>1152</v>
      </c>
      <c r="B31" s="17" t="s">
        <v>337</v>
      </c>
      <c r="C31" t="str">
        <f>VLOOKUP(B31,'Order Last Event Mapping'!A:A,1,FALSE)</f>
        <v>Drug on Hand - Patient Non-Compliant</v>
      </c>
    </row>
    <row r="32" spans="1:3" hidden="1" x14ac:dyDescent="0.25">
      <c r="A32">
        <v>1088</v>
      </c>
      <c r="B32" t="s">
        <v>331</v>
      </c>
      <c r="C32" t="str">
        <f>VLOOKUP(B32,'Order Last Event Mapping'!A:A,1,FALSE)</f>
        <v>Drug on Hand - Side Effects</v>
      </c>
    </row>
    <row r="33" spans="1:3" hidden="1" x14ac:dyDescent="0.25">
      <c r="A33">
        <v>1046</v>
      </c>
      <c r="B33" t="s">
        <v>329</v>
      </c>
      <c r="C33" t="str">
        <f>VLOOKUP(B33,'Order Last Event Mapping'!A:A,1,FALSE)</f>
        <v>Drug on Hand - Slow Titration</v>
      </c>
    </row>
    <row r="34" spans="1:3" hidden="1" x14ac:dyDescent="0.25">
      <c r="A34">
        <v>1078</v>
      </c>
      <c r="B34" t="s">
        <v>330</v>
      </c>
      <c r="C34" t="str">
        <f>VLOOKUP(B34,'Order Last Event Mapping'!A:A,1,FALSE)</f>
        <v>Drug on Hand - Tapering Off</v>
      </c>
    </row>
    <row r="35" spans="1:3" hidden="1" x14ac:dyDescent="0.25">
      <c r="A35">
        <v>1050</v>
      </c>
      <c r="B35" t="s">
        <v>349</v>
      </c>
      <c r="C35" t="e">
        <f>VLOOKUP(B35,'Order Last Event Mapping'!A:A,1,FALSE)</f>
        <v>#N/A</v>
      </c>
    </row>
    <row r="36" spans="1:3" hidden="1" x14ac:dyDescent="0.25">
      <c r="A36">
        <v>1153</v>
      </c>
      <c r="B36" t="s">
        <v>350</v>
      </c>
      <c r="C36" t="str">
        <f>VLOOKUP(B36,'Order Last Event Mapping'!A:A,1,FALSE)</f>
        <v>eRx Denied</v>
      </c>
    </row>
    <row r="37" spans="1:3" hidden="1" x14ac:dyDescent="0.25">
      <c r="A37">
        <v>990</v>
      </c>
      <c r="B37" t="s">
        <v>351</v>
      </c>
      <c r="C37" t="e">
        <f>VLOOKUP(B37,'Order Last Event Mapping'!A:A,1,FALSE)</f>
        <v>#N/A</v>
      </c>
    </row>
    <row r="38" spans="1:3" hidden="1" x14ac:dyDescent="0.25">
      <c r="A38">
        <v>736</v>
      </c>
      <c r="B38" t="s">
        <v>37</v>
      </c>
      <c r="C38" t="str">
        <f>VLOOKUP(B38,'Order Last Event Mapping'!A:A,1,FALSE)</f>
        <v>Has another Rx as well</v>
      </c>
    </row>
    <row r="39" spans="1:3" hidden="1" x14ac:dyDescent="0.25">
      <c r="A39">
        <v>753</v>
      </c>
      <c r="B39" t="s">
        <v>51</v>
      </c>
      <c r="C39" t="str">
        <f>VLOOKUP(B39,'Order Last Event Mapping'!A:A,1,FALSE)</f>
        <v>Hold Patient in Hospital</v>
      </c>
    </row>
    <row r="40" spans="1:3" hidden="1" x14ac:dyDescent="0.25">
      <c r="A40">
        <v>838</v>
      </c>
      <c r="B40" t="s">
        <v>352</v>
      </c>
      <c r="C40" t="e">
        <f>VLOOKUP(B40,'Order Last Event Mapping'!A:A,1,FALSE)</f>
        <v>#N/A</v>
      </c>
    </row>
    <row r="41" spans="1:3" hidden="1" x14ac:dyDescent="0.25">
      <c r="A41">
        <v>929</v>
      </c>
      <c r="B41" t="s">
        <v>353</v>
      </c>
      <c r="C41" t="e">
        <f>VLOOKUP(B41,'Order Last Event Mapping'!A:A,1,FALSE)</f>
        <v>#N/A</v>
      </c>
    </row>
    <row r="42" spans="1:3" hidden="1" x14ac:dyDescent="0.25">
      <c r="A42">
        <v>837</v>
      </c>
      <c r="B42" t="s">
        <v>354</v>
      </c>
      <c r="C42" t="e">
        <f>VLOOKUP(B42,'Order Last Event Mapping'!A:A,1,FALSE)</f>
        <v>#N/A</v>
      </c>
    </row>
    <row r="43" spans="1:3" hidden="1" x14ac:dyDescent="0.25">
      <c r="A43">
        <v>873</v>
      </c>
      <c r="B43" t="s">
        <v>355</v>
      </c>
      <c r="C43" t="e">
        <f>VLOOKUP(B43,'Order Last Event Mapping'!A:A,1,FALSE)</f>
        <v>#N/A</v>
      </c>
    </row>
    <row r="44" spans="1:3" hidden="1" x14ac:dyDescent="0.25">
      <c r="A44">
        <v>862</v>
      </c>
      <c r="B44" t="s">
        <v>356</v>
      </c>
      <c r="C44" t="e">
        <f>VLOOKUP(B44,'Order Last Event Mapping'!A:A,1,FALSE)</f>
        <v>#N/A</v>
      </c>
    </row>
    <row r="45" spans="1:3" hidden="1" x14ac:dyDescent="0.25">
      <c r="A45">
        <v>874</v>
      </c>
      <c r="B45" t="s">
        <v>357</v>
      </c>
      <c r="C45" t="e">
        <f>VLOOKUP(B45,'Order Last Event Mapping'!A:A,1,FALSE)</f>
        <v>#N/A</v>
      </c>
    </row>
    <row r="46" spans="1:3" hidden="1" x14ac:dyDescent="0.25">
      <c r="A46">
        <v>836</v>
      </c>
      <c r="B46" t="s">
        <v>358</v>
      </c>
      <c r="C46" t="e">
        <f>VLOOKUP(B46,'Order Last Event Mapping'!A:A,1,FALSE)</f>
        <v>#N/A</v>
      </c>
    </row>
    <row r="47" spans="1:3" hidden="1" x14ac:dyDescent="0.25">
      <c r="A47">
        <v>1056</v>
      </c>
      <c r="B47" t="s">
        <v>359</v>
      </c>
      <c r="C47" t="e">
        <f>VLOOKUP(B47,'Order Last Event Mapping'!A:A,1,FALSE)</f>
        <v>#N/A</v>
      </c>
    </row>
    <row r="48" spans="1:3" hidden="1" x14ac:dyDescent="0.25">
      <c r="A48">
        <v>1055</v>
      </c>
      <c r="B48" t="s">
        <v>360</v>
      </c>
      <c r="C48" t="e">
        <f>VLOOKUP(B48,'Order Last Event Mapping'!A:A,1,FALSE)</f>
        <v>#N/A</v>
      </c>
    </row>
    <row r="49" spans="1:3" hidden="1" x14ac:dyDescent="0.25">
      <c r="A49">
        <v>1066</v>
      </c>
      <c r="B49" t="s">
        <v>361</v>
      </c>
      <c r="C49" t="e">
        <f>VLOOKUP(B49,'Order Last Event Mapping'!A:A,1,FALSE)</f>
        <v>#N/A</v>
      </c>
    </row>
    <row r="50" spans="1:3" hidden="1" x14ac:dyDescent="0.25">
      <c r="A50">
        <v>900</v>
      </c>
      <c r="B50" t="s">
        <v>362</v>
      </c>
      <c r="C50" t="e">
        <f>VLOOKUP(B50,'Order Last Event Mapping'!A:A,1,FALSE)</f>
        <v>#N/A</v>
      </c>
    </row>
    <row r="51" spans="1:3" hidden="1" x14ac:dyDescent="0.25">
      <c r="A51">
        <v>901</v>
      </c>
      <c r="B51" t="s">
        <v>363</v>
      </c>
      <c r="C51" t="e">
        <f>VLOOKUP(B51,'Order Last Event Mapping'!A:A,1,FALSE)</f>
        <v>#N/A</v>
      </c>
    </row>
    <row r="52" spans="1:3" hidden="1" x14ac:dyDescent="0.25">
      <c r="A52">
        <v>1058</v>
      </c>
      <c r="B52" t="s">
        <v>364</v>
      </c>
      <c r="C52" t="e">
        <f>VLOOKUP(B52,'Order Last Event Mapping'!A:A,1,FALSE)</f>
        <v>#N/A</v>
      </c>
    </row>
    <row r="53" spans="1:3" hidden="1" x14ac:dyDescent="0.25">
      <c r="A53">
        <v>1047</v>
      </c>
      <c r="B53" t="s">
        <v>52</v>
      </c>
      <c r="C53" t="str">
        <f>VLOOKUP(B53,'Order Last Event Mapping'!A:A,1,FALSE)</f>
        <v>Inconvenient Time for Call</v>
      </c>
    </row>
    <row r="54" spans="1:3" hidden="1" x14ac:dyDescent="0.25">
      <c r="A54">
        <v>1031</v>
      </c>
      <c r="B54" t="s">
        <v>49</v>
      </c>
      <c r="C54" t="str">
        <f>VLOOKUP(B54,'Order Last Event Mapping'!A:A,1,FALSE)</f>
        <v>Intake: Alt Funding/Foundation in Process</v>
      </c>
    </row>
    <row r="55" spans="1:3" hidden="1" x14ac:dyDescent="0.25">
      <c r="A55">
        <v>1091</v>
      </c>
      <c r="B55" t="s">
        <v>63</v>
      </c>
      <c r="C55" t="str">
        <f>VLOOKUP(B55,'Order Last Event Mapping'!A:A,1,FALSE)</f>
        <v>Intake: Appeal Add'l Info needed from HCP</v>
      </c>
    </row>
    <row r="56" spans="1:3" hidden="1" x14ac:dyDescent="0.25">
      <c r="A56">
        <v>1092</v>
      </c>
      <c r="B56" t="s">
        <v>65</v>
      </c>
      <c r="C56" t="str">
        <f>VLOOKUP(B56,'Order Last Event Mapping'!A:A,1,FALSE)</f>
        <v>Intake: Appeal Pending HCP Initial Submission</v>
      </c>
    </row>
    <row r="57" spans="1:3" hidden="1" x14ac:dyDescent="0.25">
      <c r="A57">
        <v>1093</v>
      </c>
      <c r="B57" t="s">
        <v>67</v>
      </c>
      <c r="C57" t="str">
        <f>VLOOKUP(B57,'Order Last Event Mapping'!A:A,1,FALSE)</f>
        <v>Intake: Appeal Pending Insurance Decision</v>
      </c>
    </row>
    <row r="58" spans="1:3" hidden="1" x14ac:dyDescent="0.25">
      <c r="A58">
        <v>1094</v>
      </c>
      <c r="B58" t="s">
        <v>68</v>
      </c>
      <c r="C58" t="str">
        <f>VLOOKUP(B58,'Order Last Event Mapping'!A:A,1,FALSE)</f>
        <v>Intake: Appeal Required</v>
      </c>
    </row>
    <row r="59" spans="1:3" hidden="1" x14ac:dyDescent="0.25">
      <c r="A59">
        <v>1095</v>
      </c>
      <c r="B59" t="s">
        <v>69</v>
      </c>
      <c r="C59" t="str">
        <f>VLOOKUP(B59,'Order Last Event Mapping'!A:A,1,FALSE)</f>
        <v>Intake: Benefits Discussion</v>
      </c>
    </row>
    <row r="60" spans="1:3" hidden="1" x14ac:dyDescent="0.25">
      <c r="A60">
        <v>872</v>
      </c>
      <c r="B60" t="s">
        <v>11</v>
      </c>
      <c r="C60" t="str">
        <f>VLOOKUP(B60,'Order Last Event Mapping'!A:A,1,FALSE)</f>
        <v>Intake: BV In Process</v>
      </c>
    </row>
    <row r="61" spans="1:3" hidden="1" x14ac:dyDescent="0.25">
      <c r="A61">
        <v>822</v>
      </c>
      <c r="B61" t="s">
        <v>12</v>
      </c>
      <c r="C61" t="str">
        <f>VLOOKUP(B61,'Order Last Event Mapping'!A:A,1,FALSE)</f>
        <v>Intake: BV Needed</v>
      </c>
    </row>
    <row r="62" spans="1:3" hidden="1" x14ac:dyDescent="0.25">
      <c r="A62">
        <v>833</v>
      </c>
      <c r="B62" t="s">
        <v>59</v>
      </c>
      <c r="C62" t="str">
        <f>VLOOKUP(B62,'Order Last Event Mapping'!A:A,1,FALSE)</f>
        <v>Intake: Contracting</v>
      </c>
    </row>
    <row r="63" spans="1:3" hidden="1" x14ac:dyDescent="0.25">
      <c r="A63">
        <v>1015</v>
      </c>
      <c r="B63" t="s">
        <v>365</v>
      </c>
      <c r="C63" t="e">
        <f>VLOOKUP(B63,'Order Last Event Mapping'!A:A,1,FALSE)</f>
        <v>#N/A</v>
      </c>
    </row>
    <row r="64" spans="1:3" hidden="1" x14ac:dyDescent="0.25">
      <c r="A64">
        <v>1061</v>
      </c>
      <c r="B64" t="s">
        <v>70</v>
      </c>
      <c r="C64" t="str">
        <f>VLOOKUP(B64,'Order Last Event Mapping'!A:A,1,FALSE)</f>
        <v>Intake: Indexing Complete</v>
      </c>
    </row>
    <row r="65" spans="1:3" hidden="1" x14ac:dyDescent="0.25">
      <c r="A65">
        <v>1096</v>
      </c>
      <c r="B65" t="s">
        <v>71</v>
      </c>
      <c r="C65" t="str">
        <f>VLOOKUP(B65,'Order Last Event Mapping'!A:A,1,FALSE)</f>
        <v>Intake: Initiate PAP</v>
      </c>
    </row>
    <row r="66" spans="1:3" hidden="1" x14ac:dyDescent="0.25">
      <c r="A66">
        <v>881</v>
      </c>
      <c r="B66" t="s">
        <v>366</v>
      </c>
      <c r="C66" t="e">
        <f>VLOOKUP(B66,'Order Last Event Mapping'!A:A,1,FALSE)</f>
        <v>#N/A</v>
      </c>
    </row>
    <row r="67" spans="1:3" hidden="1" x14ac:dyDescent="0.25">
      <c r="A67">
        <v>998</v>
      </c>
      <c r="B67" t="s">
        <v>16</v>
      </c>
      <c r="C67" t="str">
        <f>VLOOKUP(B67,'Order Last Event Mapping'!A:A,1,FALSE)</f>
        <v>Intake: Missing Information from Prescriber</v>
      </c>
    </row>
    <row r="68" spans="1:3" hidden="1" x14ac:dyDescent="0.25">
      <c r="A68">
        <v>1000</v>
      </c>
      <c r="B68" t="s">
        <v>17</v>
      </c>
      <c r="C68" t="str">
        <f>VLOOKUP(B68,'Order Last Event Mapping'!A:A,1,FALSE)</f>
        <v>Intake: Missing Insurance Info</v>
      </c>
    </row>
    <row r="69" spans="1:3" hidden="1" x14ac:dyDescent="0.25">
      <c r="A69">
        <v>828</v>
      </c>
      <c r="B69" t="s">
        <v>60</v>
      </c>
      <c r="C69" t="str">
        <f>VLOOKUP(B69,'Order Last Event Mapping'!A:A,1,FALSE)</f>
        <v>Intake: New INS</v>
      </c>
    </row>
    <row r="70" spans="1:3" hidden="1" x14ac:dyDescent="0.25">
      <c r="A70">
        <v>1097</v>
      </c>
      <c r="B70" t="s">
        <v>73</v>
      </c>
      <c r="C70" t="str">
        <f>VLOOKUP(B70,'Order Last Event Mapping'!A:A,1,FALSE)</f>
        <v>Intake: On Hold Per Patient - Financial</v>
      </c>
    </row>
    <row r="71" spans="1:3" hidden="1" x14ac:dyDescent="0.25">
      <c r="A71">
        <v>1098</v>
      </c>
      <c r="B71" t="s">
        <v>74</v>
      </c>
      <c r="C71" t="str">
        <f>VLOOKUP(B71,'Order Last Event Mapping'!A:A,1,FALSE)</f>
        <v>Intake: On Hold Per Patient - MD Consult</v>
      </c>
    </row>
    <row r="72" spans="1:3" hidden="1" x14ac:dyDescent="0.25">
      <c r="A72">
        <v>1099</v>
      </c>
      <c r="B72" t="s">
        <v>75</v>
      </c>
      <c r="C72" t="str">
        <f>VLOOKUP(B72,'Order Last Event Mapping'!A:A,1,FALSE)</f>
        <v>Intake: On Hold Per Patient - Other</v>
      </c>
    </row>
    <row r="73" spans="1:3" hidden="1" x14ac:dyDescent="0.25">
      <c r="A73">
        <v>1100</v>
      </c>
      <c r="B73" t="s">
        <v>76</v>
      </c>
      <c r="C73" t="e">
        <f>VLOOKUP(B73,'Order Last Event Mapping'!A:A,1,FALSE)</f>
        <v>#N/A</v>
      </c>
    </row>
    <row r="74" spans="1:3" hidden="1" x14ac:dyDescent="0.25">
      <c r="A74">
        <v>1101</v>
      </c>
      <c r="B74" t="s">
        <v>77</v>
      </c>
      <c r="C74" t="str">
        <f>VLOOKUP(B74,'Order Last Event Mapping'!A:A,1,FALSE)</f>
        <v>Intake: On Hold Per Prescriber - Other</v>
      </c>
    </row>
    <row r="75" spans="1:3" x14ac:dyDescent="0.25">
      <c r="A75">
        <v>1102</v>
      </c>
      <c r="B75" t="s">
        <v>78</v>
      </c>
      <c r="C75" t="str">
        <f>VLOOKUP(B75,'Order Last Event Mapping'!A:A,1,FALSE)</f>
        <v>Intake: On Hold Per Prescriber - Surgery</v>
      </c>
    </row>
    <row r="76" spans="1:3" hidden="1" x14ac:dyDescent="0.25">
      <c r="A76">
        <v>1103</v>
      </c>
      <c r="B76" t="s">
        <v>79</v>
      </c>
      <c r="C76" t="str">
        <f>VLOOKUP(B76,'Order Last Event Mapping'!A:A,1,FALSE)</f>
        <v>Intake: PA Add'l Info needed from HCP</v>
      </c>
    </row>
    <row r="77" spans="1:3" hidden="1" x14ac:dyDescent="0.25">
      <c r="A77">
        <v>1104</v>
      </c>
      <c r="B77" t="s">
        <v>81</v>
      </c>
      <c r="C77" t="str">
        <f>VLOOKUP(B77,'Order Last Event Mapping'!A:A,1,FALSE)</f>
        <v>Intake: PA Pending HCP Initial Submission</v>
      </c>
    </row>
    <row r="78" spans="1:3" hidden="1" x14ac:dyDescent="0.25">
      <c r="A78">
        <v>1123</v>
      </c>
      <c r="B78" t="s">
        <v>83</v>
      </c>
      <c r="C78" t="str">
        <f>VLOOKUP(B78,'Order Last Event Mapping'!A:A,1,FALSE)</f>
        <v>Intake: PA Pending Insurance Decision</v>
      </c>
    </row>
    <row r="79" spans="1:3" hidden="1" x14ac:dyDescent="0.25">
      <c r="A79">
        <v>1124</v>
      </c>
      <c r="B79" t="s">
        <v>84</v>
      </c>
      <c r="C79" t="str">
        <f>VLOOKUP(B79,'Order Last Event Mapping'!A:A,1,FALSE)</f>
        <v>Intake: PA Required</v>
      </c>
    </row>
    <row r="80" spans="1:3" hidden="1" x14ac:dyDescent="0.25">
      <c r="A80">
        <v>1125</v>
      </c>
      <c r="B80" t="s">
        <v>85</v>
      </c>
      <c r="C80" t="str">
        <f>VLOOKUP(B80,'Order Last Event Mapping'!A:A,1,FALSE)</f>
        <v>Intake: PAP Discussion</v>
      </c>
    </row>
    <row r="81" spans="1:3" hidden="1" x14ac:dyDescent="0.25">
      <c r="A81">
        <v>954</v>
      </c>
      <c r="B81" t="s">
        <v>18</v>
      </c>
      <c r="C81" t="str">
        <f>VLOOKUP(B81,'Order Last Event Mapping'!A:A,1,FALSE)</f>
        <v>Intake: Pending Documents/Info from HUB</v>
      </c>
    </row>
    <row r="82" spans="1:3" hidden="1" x14ac:dyDescent="0.25">
      <c r="A82">
        <v>1074</v>
      </c>
      <c r="B82" t="s">
        <v>367</v>
      </c>
      <c r="C82" t="e">
        <f>VLOOKUP(B82,'Order Last Event Mapping'!A:A,1,FALSE)</f>
        <v>#N/A</v>
      </c>
    </row>
    <row r="83" spans="1:3" hidden="1" x14ac:dyDescent="0.25">
      <c r="A83">
        <v>896</v>
      </c>
      <c r="B83" t="s">
        <v>19</v>
      </c>
      <c r="C83" t="str">
        <f>VLOOKUP(B83,'Order Last Event Mapping'!A:A,1,FALSE)</f>
        <v>Intake: Pending Ins Coverage</v>
      </c>
    </row>
    <row r="84" spans="1:3" hidden="1" x14ac:dyDescent="0.25">
      <c r="A84">
        <v>831</v>
      </c>
      <c r="B84" t="s">
        <v>62</v>
      </c>
      <c r="C84" t="str">
        <f>VLOOKUP(B84,'Order Last Event Mapping'!A:A,1,FALSE)</f>
        <v>Intake: Pending Override</v>
      </c>
    </row>
    <row r="85" spans="1:3" hidden="1" x14ac:dyDescent="0.25">
      <c r="A85">
        <v>1126</v>
      </c>
      <c r="B85" t="s">
        <v>86</v>
      </c>
      <c r="C85" t="str">
        <f>VLOOKUP(B85,'Order Last Event Mapping'!A:A,1,FALSE)</f>
        <v>Intake: Pending PAP Documents</v>
      </c>
    </row>
    <row r="86" spans="1:3" hidden="1" x14ac:dyDescent="0.25">
      <c r="A86">
        <v>827</v>
      </c>
      <c r="B86" t="s">
        <v>61</v>
      </c>
      <c r="C86" t="str">
        <f>VLOOKUP(B86,'Order Last Event Mapping'!A:A,1,FALSE)</f>
        <v>Intake: Pending Phys add</v>
      </c>
    </row>
    <row r="87" spans="1:3" hidden="1" x14ac:dyDescent="0.25">
      <c r="A87">
        <v>1037</v>
      </c>
      <c r="B87" t="s">
        <v>368</v>
      </c>
      <c r="C87" t="e">
        <f>VLOOKUP(B87,'Order Last Event Mapping'!A:A,1,FALSE)</f>
        <v>#N/A</v>
      </c>
    </row>
    <row r="88" spans="1:3" hidden="1" x14ac:dyDescent="0.25">
      <c r="A88">
        <v>1127</v>
      </c>
      <c r="B88" t="s">
        <v>91</v>
      </c>
      <c r="C88" t="str">
        <f>VLOOKUP(B88,'Order Last Event Mapping'!A:A,1,FALSE)</f>
        <v>Intake: Pending Phys- Alt Therapy Decision</v>
      </c>
    </row>
    <row r="89" spans="1:3" hidden="1" x14ac:dyDescent="0.25">
      <c r="A89">
        <v>1128</v>
      </c>
      <c r="B89" t="s">
        <v>87</v>
      </c>
      <c r="C89" t="str">
        <f>VLOOKUP(B89,'Order Last Event Mapping'!A:A,1,FALSE)</f>
        <v>Intake: Pending Phys- PA Decision</v>
      </c>
    </row>
    <row r="90" spans="1:3" hidden="1" x14ac:dyDescent="0.25">
      <c r="A90">
        <v>1129</v>
      </c>
      <c r="B90" t="s">
        <v>89</v>
      </c>
      <c r="C90" t="str">
        <f>VLOOKUP(B90,'Order Last Event Mapping'!A:A,1,FALSE)</f>
        <v>Intake: Pending Phys-Appeal Decision</v>
      </c>
    </row>
    <row r="91" spans="1:3" hidden="1" x14ac:dyDescent="0.25">
      <c r="A91">
        <v>987</v>
      </c>
      <c r="B91" t="s">
        <v>20</v>
      </c>
      <c r="C91" t="str">
        <f>VLOOKUP(B91,'Order Last Event Mapping'!A:A,1,FALSE)</f>
        <v>Intake: Unreachable Letter Sent</v>
      </c>
    </row>
    <row r="92" spans="1:3" hidden="1" x14ac:dyDescent="0.25">
      <c r="A92">
        <v>960</v>
      </c>
      <c r="B92" t="s">
        <v>22</v>
      </c>
      <c r="C92" t="str">
        <f>VLOOKUP(B92,'Order Last Event Mapping'!A:A,1,FALSE)</f>
        <v>Intake: Waiting for VA approval</v>
      </c>
    </row>
    <row r="93" spans="1:3" hidden="1" x14ac:dyDescent="0.25">
      <c r="A93">
        <v>1016</v>
      </c>
      <c r="B93" t="s">
        <v>369</v>
      </c>
      <c r="C93" t="e">
        <f>VLOOKUP(B93,'Order Last Event Mapping'!A:A,1,FALSE)</f>
        <v>#N/A</v>
      </c>
    </row>
    <row r="94" spans="1:3" hidden="1" x14ac:dyDescent="0.25">
      <c r="A94">
        <v>1077</v>
      </c>
      <c r="B94" t="s">
        <v>370</v>
      </c>
      <c r="C94" t="e">
        <f>VLOOKUP(B94,'Order Last Event Mapping'!A:A,1,FALSE)</f>
        <v>#N/A</v>
      </c>
    </row>
    <row r="95" spans="1:3" hidden="1" x14ac:dyDescent="0.25">
      <c r="A95">
        <v>1075</v>
      </c>
      <c r="B95" t="s">
        <v>371</v>
      </c>
      <c r="C95" t="e">
        <f>VLOOKUP(B95,'Order Last Event Mapping'!A:A,1,FALSE)</f>
        <v>#N/A</v>
      </c>
    </row>
    <row r="96" spans="1:3" hidden="1" x14ac:dyDescent="0.25">
      <c r="A96">
        <v>1052</v>
      </c>
      <c r="B96" t="s">
        <v>372</v>
      </c>
      <c r="C96" t="e">
        <f>VLOOKUP(B96,'Order Last Event Mapping'!A:A,1,FALSE)</f>
        <v>#N/A</v>
      </c>
    </row>
    <row r="97" spans="1:3" hidden="1" x14ac:dyDescent="0.25">
      <c r="A97">
        <v>772</v>
      </c>
      <c r="B97" t="s">
        <v>373</v>
      </c>
      <c r="C97" t="e">
        <f>VLOOKUP(B97,'Order Last Event Mapping'!A:A,1,FALSE)</f>
        <v>#N/A</v>
      </c>
    </row>
    <row r="98" spans="1:3" hidden="1" x14ac:dyDescent="0.25">
      <c r="A98">
        <v>1035</v>
      </c>
      <c r="B98" t="s">
        <v>374</v>
      </c>
      <c r="C98" t="str">
        <f>VLOOKUP(B98,'Order Last Event Mapping'!A:A,1,FALSE)</f>
        <v>Maintenance Dose Rx</v>
      </c>
    </row>
    <row r="99" spans="1:3" hidden="1" x14ac:dyDescent="0.25">
      <c r="A99">
        <v>1042</v>
      </c>
      <c r="B99" t="s">
        <v>129</v>
      </c>
      <c r="C99" t="str">
        <f>VLOOKUP(B99,'Order Last Event Mapping'!A:A,1,FALSE)</f>
        <v>MD/patient notified- Attempt 1</v>
      </c>
    </row>
    <row r="100" spans="1:3" hidden="1" x14ac:dyDescent="0.25">
      <c r="A100">
        <v>1130</v>
      </c>
      <c r="B100" t="s">
        <v>130</v>
      </c>
      <c r="C100" t="str">
        <f>VLOOKUP(B100,'Order Last Event Mapping'!A:A,1,FALSE)</f>
        <v>MD/patient notified- Attempt 2</v>
      </c>
    </row>
    <row r="101" spans="1:3" hidden="1" x14ac:dyDescent="0.25">
      <c r="A101">
        <v>743</v>
      </c>
      <c r="B101" t="s">
        <v>375</v>
      </c>
      <c r="C101" t="e">
        <f>VLOOKUP(B101,'Order Last Event Mapping'!A:A,1,FALSE)</f>
        <v>#N/A</v>
      </c>
    </row>
    <row r="102" spans="1:3" hidden="1" x14ac:dyDescent="0.25">
      <c r="A102">
        <v>1039</v>
      </c>
      <c r="B102" t="s">
        <v>53</v>
      </c>
      <c r="C102" t="str">
        <f>VLOOKUP(B102,'Order Last Event Mapping'!A:A,1,FALSE)</f>
        <v>New RX received</v>
      </c>
    </row>
    <row r="103" spans="1:3" hidden="1" x14ac:dyDescent="0.25">
      <c r="A103">
        <v>1157</v>
      </c>
      <c r="B103" t="s">
        <v>376</v>
      </c>
      <c r="C103" t="e">
        <f>VLOOKUP(B103,'Order Last Event Mapping'!A:A,1,FALSE)</f>
        <v>#N/A</v>
      </c>
    </row>
    <row r="104" spans="1:3" hidden="1" x14ac:dyDescent="0.25">
      <c r="A104">
        <v>1131</v>
      </c>
      <c r="B104" t="s">
        <v>298</v>
      </c>
      <c r="C104" t="str">
        <f>VLOOKUP(B104,'Order Last Event Mapping'!A:A,1,FALSE)</f>
        <v>On Hold- Medical Reason</v>
      </c>
    </row>
    <row r="105" spans="1:3" hidden="1" x14ac:dyDescent="0.25">
      <c r="A105">
        <v>1132</v>
      </c>
      <c r="B105" s="17" t="s">
        <v>315</v>
      </c>
      <c r="C105" t="str">
        <f>VLOOKUP(B105,'Order Last Event Mapping'!A:A,1,FALSE)</f>
        <v>On Hold- Pending Labs/Testing</v>
      </c>
    </row>
    <row r="106" spans="1:3" x14ac:dyDescent="0.25">
      <c r="A106">
        <v>1133</v>
      </c>
      <c r="B106" s="17" t="s">
        <v>317</v>
      </c>
      <c r="C106" t="str">
        <f>VLOOKUP(B106,'Order Last Event Mapping'!A:A,1,FALSE)</f>
        <v>On Hold- Pending Surgery</v>
      </c>
    </row>
    <row r="107" spans="1:3" hidden="1" x14ac:dyDescent="0.25">
      <c r="A107">
        <v>735</v>
      </c>
      <c r="B107" s="17" t="s">
        <v>318</v>
      </c>
      <c r="C107" t="str">
        <f>VLOOKUP(B107,'Order Last Event Mapping'!A:A,1,FALSE)</f>
        <v>On Hold- Per Prescriber</v>
      </c>
    </row>
    <row r="108" spans="1:3" hidden="1" x14ac:dyDescent="0.25">
      <c r="A108">
        <v>902</v>
      </c>
      <c r="B108" t="s">
        <v>377</v>
      </c>
      <c r="C108" t="e">
        <f>VLOOKUP(B108,'Order Last Event Mapping'!A:A,1,FALSE)</f>
        <v>#N/A</v>
      </c>
    </row>
    <row r="109" spans="1:3" hidden="1" x14ac:dyDescent="0.25">
      <c r="A109">
        <v>1012</v>
      </c>
      <c r="B109" t="s">
        <v>378</v>
      </c>
      <c r="C109" t="e">
        <f>VLOOKUP(B109,'Order Last Event Mapping'!A:A,1,FALSE)</f>
        <v>#N/A</v>
      </c>
    </row>
    <row r="110" spans="1:3" hidden="1" x14ac:dyDescent="0.25">
      <c r="A110">
        <v>1008</v>
      </c>
      <c r="B110" t="s">
        <v>379</v>
      </c>
      <c r="C110" t="e">
        <f>VLOOKUP(B110,'Order Last Event Mapping'!A:A,1,FALSE)</f>
        <v>#N/A</v>
      </c>
    </row>
    <row r="111" spans="1:3" hidden="1" x14ac:dyDescent="0.25">
      <c r="A111">
        <v>1059</v>
      </c>
      <c r="B111" t="s">
        <v>380</v>
      </c>
      <c r="C111" t="e">
        <f>VLOOKUP(B111,'Order Last Event Mapping'!A:A,1,FALSE)</f>
        <v>#N/A</v>
      </c>
    </row>
    <row r="112" spans="1:3" hidden="1" x14ac:dyDescent="0.25">
      <c r="A112">
        <v>1009</v>
      </c>
      <c r="B112" t="s">
        <v>381</v>
      </c>
      <c r="C112" t="e">
        <f>VLOOKUP(B112,'Order Last Event Mapping'!A:A,1,FALSE)</f>
        <v>#N/A</v>
      </c>
    </row>
    <row r="113" spans="1:3" hidden="1" x14ac:dyDescent="0.25">
      <c r="A113">
        <v>1010</v>
      </c>
      <c r="B113" t="s">
        <v>382</v>
      </c>
      <c r="C113" t="e">
        <f>VLOOKUP(B113,'Order Last Event Mapping'!A:A,1,FALSE)</f>
        <v>#N/A</v>
      </c>
    </row>
    <row r="114" spans="1:3" hidden="1" x14ac:dyDescent="0.25">
      <c r="A114">
        <v>850</v>
      </c>
      <c r="B114" t="s">
        <v>383</v>
      </c>
      <c r="C114" t="e">
        <f>VLOOKUP(B114,'Order Last Event Mapping'!A:A,1,FALSE)</f>
        <v>#N/A</v>
      </c>
    </row>
    <row r="115" spans="1:3" hidden="1" x14ac:dyDescent="0.25">
      <c r="A115">
        <v>798</v>
      </c>
      <c r="B115" t="s">
        <v>384</v>
      </c>
      <c r="C115" t="e">
        <f>VLOOKUP(B115,'Order Last Event Mapping'!A:A,1,FALSE)</f>
        <v>#N/A</v>
      </c>
    </row>
    <row r="116" spans="1:3" hidden="1" x14ac:dyDescent="0.25">
      <c r="A116">
        <v>865</v>
      </c>
      <c r="B116" t="s">
        <v>385</v>
      </c>
      <c r="C116" t="e">
        <f>VLOOKUP(B116,'Order Last Event Mapping'!A:A,1,FALSE)</f>
        <v>#N/A</v>
      </c>
    </row>
    <row r="117" spans="1:3" hidden="1" x14ac:dyDescent="0.25">
      <c r="A117">
        <v>848</v>
      </c>
      <c r="B117" t="s">
        <v>386</v>
      </c>
      <c r="C117" t="e">
        <f>VLOOKUP(B117,'Order Last Event Mapping'!A:A,1,FALSE)</f>
        <v>#N/A</v>
      </c>
    </row>
    <row r="118" spans="1:3" hidden="1" x14ac:dyDescent="0.25">
      <c r="A118">
        <v>847</v>
      </c>
      <c r="B118" t="s">
        <v>387</v>
      </c>
      <c r="C118" t="e">
        <f>VLOOKUP(B118,'Order Last Event Mapping'!A:A,1,FALSE)</f>
        <v>#N/A</v>
      </c>
    </row>
    <row r="119" spans="1:3" hidden="1" x14ac:dyDescent="0.25">
      <c r="A119">
        <v>849</v>
      </c>
      <c r="B119" t="s">
        <v>388</v>
      </c>
      <c r="C119" t="e">
        <f>VLOOKUP(B119,'Order Last Event Mapping'!A:A,1,FALSE)</f>
        <v>#N/A</v>
      </c>
    </row>
    <row r="120" spans="1:3" hidden="1" x14ac:dyDescent="0.25">
      <c r="A120">
        <v>846</v>
      </c>
      <c r="B120" t="s">
        <v>389</v>
      </c>
      <c r="C120" t="e">
        <f>VLOOKUP(B120,'Order Last Event Mapping'!A:A,1,FALSE)</f>
        <v>#N/A</v>
      </c>
    </row>
    <row r="121" spans="1:3" hidden="1" x14ac:dyDescent="0.25">
      <c r="A121">
        <v>876</v>
      </c>
      <c r="B121" t="s">
        <v>390</v>
      </c>
      <c r="C121" t="e">
        <f>VLOOKUP(B121,'Order Last Event Mapping'!A:A,1,FALSE)</f>
        <v>#N/A</v>
      </c>
    </row>
    <row r="122" spans="1:3" hidden="1" x14ac:dyDescent="0.25">
      <c r="A122">
        <v>867</v>
      </c>
      <c r="B122" t="s">
        <v>391</v>
      </c>
      <c r="C122" t="e">
        <f>VLOOKUP(B122,'Order Last Event Mapping'!A:A,1,FALSE)</f>
        <v>#N/A</v>
      </c>
    </row>
    <row r="123" spans="1:3" hidden="1" x14ac:dyDescent="0.25">
      <c r="A123">
        <v>851</v>
      </c>
      <c r="B123" t="s">
        <v>392</v>
      </c>
      <c r="C123" t="e">
        <f>VLOOKUP(B123,'Order Last Event Mapping'!A:A,1,FALSE)</f>
        <v>#N/A</v>
      </c>
    </row>
    <row r="124" spans="1:3" hidden="1" x14ac:dyDescent="0.25">
      <c r="A124">
        <v>1049</v>
      </c>
      <c r="B124" t="s">
        <v>303</v>
      </c>
      <c r="C124" t="str">
        <f>VLOOKUP(B124,'Order Last Event Mapping'!A:A,1,FALSE)</f>
        <v>Patient has opted out of calls</v>
      </c>
    </row>
    <row r="125" spans="1:3" hidden="1" x14ac:dyDescent="0.25">
      <c r="A125">
        <v>1135</v>
      </c>
      <c r="B125" t="s">
        <v>324</v>
      </c>
      <c r="C125" t="str">
        <f>VLOOKUP(B125,'Order Last Event Mapping'!A:A,1,FALSE)</f>
        <v>Patient has opted out of calls - 1</v>
      </c>
    </row>
    <row r="126" spans="1:3" hidden="1" x14ac:dyDescent="0.25">
      <c r="A126">
        <v>1136</v>
      </c>
      <c r="B126" t="s">
        <v>326</v>
      </c>
      <c r="C126" t="str">
        <f>VLOOKUP(B126,'Order Last Event Mapping'!A:A,1,FALSE)</f>
        <v>Patient has opted out of calls - 120</v>
      </c>
    </row>
    <row r="127" spans="1:3" hidden="1" x14ac:dyDescent="0.25">
      <c r="A127">
        <v>1137</v>
      </c>
      <c r="B127" t="s">
        <v>393</v>
      </c>
      <c r="C127" t="str">
        <f>VLOOKUP(B127,'Order Last Event Mapping'!A:A,1,FALSE)</f>
        <v>Patient has opted out of calls - 2</v>
      </c>
    </row>
    <row r="128" spans="1:3" hidden="1" x14ac:dyDescent="0.25">
      <c r="A128">
        <v>1155</v>
      </c>
      <c r="B128" t="s">
        <v>394</v>
      </c>
      <c r="C128" t="str">
        <f>VLOOKUP(B128,'Order Last Event Mapping'!A:A,1,FALSE)</f>
        <v>Patient to be Discharged</v>
      </c>
    </row>
    <row r="129" spans="1:3" hidden="1" x14ac:dyDescent="0.25">
      <c r="A129">
        <v>767</v>
      </c>
      <c r="B129" t="s">
        <v>24</v>
      </c>
      <c r="C129" t="str">
        <f>VLOOKUP(B129,'Order Last Event Mapping'!A:A,1,FALSE)</f>
        <v>Patient will call back</v>
      </c>
    </row>
    <row r="130" spans="1:3" hidden="1" x14ac:dyDescent="0.25">
      <c r="A130">
        <v>953</v>
      </c>
      <c r="B130" t="s">
        <v>8</v>
      </c>
      <c r="C130" t="str">
        <f>VLOOKUP(B130,'Order Last Event Mapping'!A:A,1,FALSE)</f>
        <v>Pharmacist Review</v>
      </c>
    </row>
    <row r="131" spans="1:3" hidden="1" x14ac:dyDescent="0.25">
      <c r="A131">
        <v>1067</v>
      </c>
      <c r="B131" t="s">
        <v>123</v>
      </c>
      <c r="C131" t="str">
        <f>VLOOKUP(B131,'Order Last Event Mapping'!A:A,1,FALSE)</f>
        <v>Pharmacist Review - Dose Change</v>
      </c>
    </row>
    <row r="132" spans="1:3" hidden="1" x14ac:dyDescent="0.25">
      <c r="A132">
        <v>894</v>
      </c>
      <c r="B132" t="s">
        <v>395</v>
      </c>
      <c r="C132" t="str">
        <f>VLOOKUP(B132,'Order Last Event Mapping'!A:A,1,FALSE)</f>
        <v>Pharmacy: Unreachable letter sent</v>
      </c>
    </row>
    <row r="133" spans="1:3" hidden="1" x14ac:dyDescent="0.25">
      <c r="A133">
        <v>1141</v>
      </c>
      <c r="B133" t="s">
        <v>396</v>
      </c>
      <c r="C133" t="str">
        <f>VLOOKUP(B133,'Order Last Event Mapping'!A:A,1,FALSE)</f>
        <v>Pharmacy: Waiting for Approval - Manuf.</v>
      </c>
    </row>
    <row r="134" spans="1:3" hidden="1" x14ac:dyDescent="0.25">
      <c r="A134">
        <v>1142</v>
      </c>
      <c r="B134" t="s">
        <v>397</v>
      </c>
      <c r="C134" t="str">
        <f>VLOOKUP(B134,'Order Last Event Mapping'!A:A,1,FALSE)</f>
        <v>Pharmacy: Waiting for Approval VA</v>
      </c>
    </row>
    <row r="135" spans="1:3" hidden="1" x14ac:dyDescent="0.25">
      <c r="A135">
        <v>1154</v>
      </c>
      <c r="B135" t="s">
        <v>313</v>
      </c>
      <c r="C135" t="str">
        <f>VLOOKUP(B135,'Order Last Event Mapping'!A:A,1,FALSE)</f>
        <v>Prescriber Denied New Rx</v>
      </c>
    </row>
    <row r="136" spans="1:3" hidden="1" x14ac:dyDescent="0.25">
      <c r="A136">
        <v>700</v>
      </c>
      <c r="B136" t="s">
        <v>47</v>
      </c>
      <c r="C136" t="str">
        <f>VLOOKUP(B136,'Order Last Event Mapping'!A:A,1,FALSE)</f>
        <v>Ready to Fill</v>
      </c>
    </row>
    <row r="137" spans="1:3" hidden="1" x14ac:dyDescent="0.25">
      <c r="A137">
        <v>1143</v>
      </c>
      <c r="B137" t="s">
        <v>398</v>
      </c>
      <c r="C137" t="str">
        <f>VLOOKUP(B137,'Order Last Event Mapping'!A:A,1,FALSE)</f>
        <v>ReIntake: Alt Funding/Foundation in Process</v>
      </c>
    </row>
    <row r="138" spans="1:3" hidden="1" x14ac:dyDescent="0.25">
      <c r="A138">
        <v>1144</v>
      </c>
      <c r="B138" t="s">
        <v>399</v>
      </c>
      <c r="C138" t="str">
        <f>VLOOKUP(B138,'Order Last Event Mapping'!A:A,1,FALSE)</f>
        <v>Reintake: Appeal Add'l Info needed from HCP</v>
      </c>
    </row>
    <row r="139" spans="1:3" hidden="1" x14ac:dyDescent="0.25">
      <c r="A139">
        <v>1145</v>
      </c>
      <c r="B139" t="s">
        <v>400</v>
      </c>
      <c r="C139" t="str">
        <f>VLOOKUP(B139,'Order Last Event Mapping'!A:A,1,FALSE)</f>
        <v>Reintake: Appeal Pending HCP Initial Submission</v>
      </c>
    </row>
    <row r="140" spans="1:3" hidden="1" x14ac:dyDescent="0.25">
      <c r="A140">
        <v>1146</v>
      </c>
      <c r="B140" t="s">
        <v>401</v>
      </c>
      <c r="C140" t="str">
        <f>VLOOKUP(B140,'Order Last Event Mapping'!A:A,1,FALSE)</f>
        <v>Reintake: Appeal Pending Insurance Decision</v>
      </c>
    </row>
    <row r="141" spans="1:3" hidden="1" x14ac:dyDescent="0.25">
      <c r="A141">
        <v>1147</v>
      </c>
      <c r="B141" t="s">
        <v>402</v>
      </c>
      <c r="C141" t="str">
        <f>VLOOKUP(B141,'Order Last Event Mapping'!A:A,1,FALSE)</f>
        <v>Reintake: Appeal Required</v>
      </c>
    </row>
    <row r="142" spans="1:3" hidden="1" x14ac:dyDescent="0.25">
      <c r="A142">
        <v>1148</v>
      </c>
      <c r="B142" t="s">
        <v>403</v>
      </c>
      <c r="C142" t="str">
        <f>VLOOKUP(B142,'Order Last Event Mapping'!A:A,1,FALSE)</f>
        <v>Reintake: Benefits Discussion</v>
      </c>
    </row>
    <row r="143" spans="1:3" hidden="1" x14ac:dyDescent="0.25">
      <c r="A143">
        <v>966</v>
      </c>
      <c r="B143" t="s">
        <v>5</v>
      </c>
      <c r="C143" t="str">
        <f>VLOOKUP(B143,'Order Last Event Mapping'!A:A,1,FALSE)</f>
        <v>REIntake: BV In Process</v>
      </c>
    </row>
    <row r="144" spans="1:3" hidden="1" x14ac:dyDescent="0.25">
      <c r="A144">
        <v>967</v>
      </c>
      <c r="B144" t="s">
        <v>54</v>
      </c>
      <c r="C144" t="str">
        <f>VLOOKUP(B144,'Order Last Event Mapping'!A:A,1,FALSE)</f>
        <v>REIntake: BV Needed</v>
      </c>
    </row>
    <row r="145" spans="1:3" hidden="1" x14ac:dyDescent="0.25">
      <c r="A145">
        <v>972</v>
      </c>
      <c r="B145" t="s">
        <v>404</v>
      </c>
      <c r="C145" t="str">
        <f>VLOOKUP(B145,'Order Last Event Mapping'!A:A,1,FALSE)</f>
        <v>ReIntake: Contracting</v>
      </c>
    </row>
    <row r="146" spans="1:3" hidden="1" x14ac:dyDescent="0.25">
      <c r="A146">
        <v>1062</v>
      </c>
      <c r="B146" t="s">
        <v>100</v>
      </c>
      <c r="C146" t="str">
        <f>VLOOKUP(B146,'Order Last Event Mapping'!A:A,1,FALSE)</f>
        <v>ReIntake: Indexing Complete</v>
      </c>
    </row>
    <row r="147" spans="1:3" hidden="1" x14ac:dyDescent="0.25">
      <c r="A147">
        <v>1149</v>
      </c>
      <c r="B147" t="s">
        <v>405</v>
      </c>
      <c r="C147" t="str">
        <f>VLOOKUP(B147,'Order Last Event Mapping'!A:A,1,FALSE)</f>
        <v>Reintake: Initiate PAP</v>
      </c>
    </row>
    <row r="148" spans="1:3" hidden="1" x14ac:dyDescent="0.25">
      <c r="A148">
        <v>999</v>
      </c>
      <c r="B148" t="s">
        <v>406</v>
      </c>
      <c r="C148" t="str">
        <f>VLOOKUP(B148,'Order Last Event Mapping'!A:A,1,FALSE)</f>
        <v>ReIntake: Missing Information from Prescriber</v>
      </c>
    </row>
    <row r="149" spans="1:3" hidden="1" x14ac:dyDescent="0.25">
      <c r="A149">
        <v>1001</v>
      </c>
      <c r="B149" t="s">
        <v>407</v>
      </c>
      <c r="C149" t="str">
        <f>VLOOKUP(B149,'Order Last Event Mapping'!A:A,1,FALSE)</f>
        <v>Reintake: Missing Insurance Info</v>
      </c>
    </row>
    <row r="150" spans="1:3" hidden="1" x14ac:dyDescent="0.25">
      <c r="A150">
        <v>974</v>
      </c>
      <c r="B150" t="s">
        <v>408</v>
      </c>
      <c r="C150" t="str">
        <f>VLOOKUP(B150,'Order Last Event Mapping'!A:A,1,FALSE)</f>
        <v>ReIntake: New INS</v>
      </c>
    </row>
    <row r="151" spans="1:3" hidden="1" x14ac:dyDescent="0.25">
      <c r="A151">
        <v>1118</v>
      </c>
      <c r="B151" t="s">
        <v>104</v>
      </c>
      <c r="C151" t="str">
        <f>VLOOKUP(B151,'Order Last Event Mapping'!A:A,1,FALSE)</f>
        <v>REIntake: On Hold Per Patient - Financial</v>
      </c>
    </row>
    <row r="152" spans="1:3" hidden="1" x14ac:dyDescent="0.25">
      <c r="A152">
        <v>1117</v>
      </c>
      <c r="B152" t="s">
        <v>105</v>
      </c>
      <c r="C152" t="str">
        <f>VLOOKUP(B152,'Order Last Event Mapping'!A:A,1,FALSE)</f>
        <v>REIntake: On Hold Per Patient - MD Consult</v>
      </c>
    </row>
    <row r="153" spans="1:3" hidden="1" x14ac:dyDescent="0.25">
      <c r="A153">
        <v>1116</v>
      </c>
      <c r="B153" t="s">
        <v>106</v>
      </c>
      <c r="C153" t="str">
        <f>VLOOKUP(B153,'Order Last Event Mapping'!A:A,1,FALSE)</f>
        <v>REIntake: On Hold Per Patient - Other</v>
      </c>
    </row>
    <row r="154" spans="1:3" hidden="1" x14ac:dyDescent="0.25">
      <c r="A154">
        <v>1115</v>
      </c>
      <c r="B154" t="s">
        <v>107</v>
      </c>
      <c r="C154" t="str">
        <f>VLOOKUP(B154,'Order Last Event Mapping'!A:A,1,FALSE)</f>
        <v>REIntake: On Hold Per Prescriber - Lab</v>
      </c>
    </row>
    <row r="155" spans="1:3" x14ac:dyDescent="0.25">
      <c r="A155">
        <v>1114</v>
      </c>
      <c r="B155" t="s">
        <v>108</v>
      </c>
      <c r="C155" t="str">
        <f>VLOOKUP(B155,'Order Last Event Mapping'!A:A,1,FALSE)</f>
        <v>REIntake: On Hold Per Prescriber - Surgery</v>
      </c>
    </row>
    <row r="156" spans="1:3" hidden="1" x14ac:dyDescent="0.25">
      <c r="A156">
        <v>1150</v>
      </c>
      <c r="B156" t="s">
        <v>409</v>
      </c>
      <c r="C156" t="str">
        <f>VLOOKUP(B156,'Order Last Event Mapping'!A:A,1,FALSE)</f>
        <v>Reintake: PA Add'l Info needed from HCP</v>
      </c>
    </row>
    <row r="157" spans="1:3" hidden="1" x14ac:dyDescent="0.25">
      <c r="A157">
        <v>1151</v>
      </c>
      <c r="B157" t="s">
        <v>410</v>
      </c>
      <c r="C157" t="str">
        <f>VLOOKUP(B157,'Order Last Event Mapping'!A:A,1,FALSE)</f>
        <v>Reintake: PA Pending HCP Initial Submission</v>
      </c>
    </row>
    <row r="158" spans="1:3" hidden="1" x14ac:dyDescent="0.25">
      <c r="A158">
        <v>1140</v>
      </c>
      <c r="B158" t="s">
        <v>411</v>
      </c>
      <c r="C158" t="str">
        <f>VLOOKUP(B158,'Order Last Event Mapping'!A:A,1,FALSE)</f>
        <v>Reintake: PA Pending Insurance Decision</v>
      </c>
    </row>
    <row r="159" spans="1:3" hidden="1" x14ac:dyDescent="0.25">
      <c r="A159">
        <v>1139</v>
      </c>
      <c r="B159" t="s">
        <v>412</v>
      </c>
      <c r="C159" t="str">
        <f>VLOOKUP(B159,'Order Last Event Mapping'!A:A,1,FALSE)</f>
        <v>Reintake: PA Required</v>
      </c>
    </row>
    <row r="160" spans="1:3" hidden="1" x14ac:dyDescent="0.25">
      <c r="A160">
        <v>1138</v>
      </c>
      <c r="B160" t="s">
        <v>413</v>
      </c>
      <c r="C160" t="str">
        <f>VLOOKUP(B160,'Order Last Event Mapping'!A:A,1,FALSE)</f>
        <v>Reintake: PAP Discussion</v>
      </c>
    </row>
    <row r="161" spans="1:3" hidden="1" x14ac:dyDescent="0.25">
      <c r="A161">
        <v>979</v>
      </c>
      <c r="B161" t="s">
        <v>414</v>
      </c>
      <c r="C161" t="e">
        <f>VLOOKUP(B161,'Order Last Event Mapping'!A:A,1,FALSE)</f>
        <v>#N/A</v>
      </c>
    </row>
    <row r="162" spans="1:3" hidden="1" x14ac:dyDescent="0.25">
      <c r="A162">
        <v>980</v>
      </c>
      <c r="B162" t="s">
        <v>415</v>
      </c>
      <c r="C162" t="str">
        <f>VLOOKUP(B162,'Order Last Event Mapping'!A:A,1,FALSE)</f>
        <v>ReIntake: Pending Ins Coverage</v>
      </c>
    </row>
    <row r="163" spans="1:3" hidden="1" x14ac:dyDescent="0.25">
      <c r="A163">
        <v>977</v>
      </c>
      <c r="B163" t="s">
        <v>416</v>
      </c>
      <c r="C163" t="str">
        <f>VLOOKUP(B163,'Order Last Event Mapping'!A:A,1,FALSE)</f>
        <v>Reintake: Pending Override</v>
      </c>
    </row>
    <row r="164" spans="1:3" hidden="1" x14ac:dyDescent="0.25">
      <c r="A164">
        <v>1122</v>
      </c>
      <c r="B164" t="s">
        <v>311</v>
      </c>
      <c r="C164" t="str">
        <f>VLOOKUP(B164,'Order Last Event Mapping'!A:A,1,FALSE)</f>
        <v>REIntake: Pending PAP Documents</v>
      </c>
    </row>
    <row r="165" spans="1:3" hidden="1" x14ac:dyDescent="0.25">
      <c r="A165">
        <v>975</v>
      </c>
      <c r="B165" t="s">
        <v>417</v>
      </c>
      <c r="C165" t="str">
        <f>VLOOKUP(B165,'Order Last Event Mapping'!A:A,1,FALSE)</f>
        <v>REIntake: Pending Phys Add</v>
      </c>
    </row>
    <row r="166" spans="1:3" hidden="1" x14ac:dyDescent="0.25">
      <c r="A166">
        <v>1038</v>
      </c>
      <c r="B166" t="s">
        <v>418</v>
      </c>
      <c r="C166" t="e">
        <f>VLOOKUP(B166,'Order Last Event Mapping'!A:A,1,FALSE)</f>
        <v>#N/A</v>
      </c>
    </row>
    <row r="167" spans="1:3" hidden="1" x14ac:dyDescent="0.25">
      <c r="A167">
        <v>1121</v>
      </c>
      <c r="B167" t="s">
        <v>419</v>
      </c>
      <c r="C167" t="str">
        <f>VLOOKUP(B167,'Order Last Event Mapping'!A:A,1,FALSE)</f>
        <v>Reintake: Pending Phys- Alt Therapy Decision</v>
      </c>
    </row>
    <row r="168" spans="1:3" hidden="1" x14ac:dyDescent="0.25">
      <c r="A168">
        <v>1120</v>
      </c>
      <c r="B168" t="s">
        <v>420</v>
      </c>
      <c r="C168" t="str">
        <f>VLOOKUP(B168,'Order Last Event Mapping'!A:A,1,FALSE)</f>
        <v>REIntake: Pending Phys- Appeal Decision</v>
      </c>
    </row>
    <row r="169" spans="1:3" hidden="1" x14ac:dyDescent="0.25">
      <c r="A169">
        <v>1119</v>
      </c>
      <c r="B169" t="s">
        <v>421</v>
      </c>
      <c r="C169" t="str">
        <f>VLOOKUP(B169,'Order Last Event Mapping'!A:A,1,FALSE)</f>
        <v>Reintake: Pending Phys- PA Decision</v>
      </c>
    </row>
    <row r="170" spans="1:3" hidden="1" x14ac:dyDescent="0.25">
      <c r="A170">
        <v>988</v>
      </c>
      <c r="B170" t="s">
        <v>422</v>
      </c>
      <c r="C170" t="str">
        <f>VLOOKUP(B170,'Order Last Event Mapping'!A:A,1,FALSE)</f>
        <v>ReIntake: Unreachable Letter Sent</v>
      </c>
    </row>
    <row r="171" spans="1:3" hidden="1" x14ac:dyDescent="0.25">
      <c r="A171">
        <v>985</v>
      </c>
      <c r="B171" t="s">
        <v>423</v>
      </c>
      <c r="C171" t="str">
        <f>VLOOKUP(B171,'Order Last Event Mapping'!A:A,1,FALSE)</f>
        <v>ReIntake: Waiting for VA approval</v>
      </c>
    </row>
    <row r="172" spans="1:3" hidden="1" x14ac:dyDescent="0.25">
      <c r="A172">
        <v>781</v>
      </c>
      <c r="B172" t="s">
        <v>25</v>
      </c>
      <c r="C172" t="str">
        <f>VLOOKUP(B172,'Order Last Event Mapping'!A:A,1,FALSE)</f>
        <v>See Progress Note</v>
      </c>
    </row>
    <row r="173" spans="1:3" hidden="1" x14ac:dyDescent="0.25">
      <c r="A173">
        <v>1113</v>
      </c>
      <c r="B173" t="s">
        <v>64</v>
      </c>
      <c r="C173" t="str">
        <f>VLOOKUP(B173,'Order Last Event Mapping'!A:A,1,FALSE)</f>
        <v>SF Assistance: Appeal Add'l Info need from HCP</v>
      </c>
    </row>
    <row r="174" spans="1:3" hidden="1" x14ac:dyDescent="0.25">
      <c r="A174">
        <v>1112</v>
      </c>
      <c r="B174" t="s">
        <v>66</v>
      </c>
      <c r="C174" t="str">
        <f>VLOOKUP(B174,'Order Last Event Mapping'!A:A,1,FALSE)</f>
        <v>SF Assistance: Appeal Pending HCP Initial Submission</v>
      </c>
    </row>
    <row r="175" spans="1:3" hidden="1" x14ac:dyDescent="0.25">
      <c r="A175">
        <v>1111</v>
      </c>
      <c r="B175" t="s">
        <v>128</v>
      </c>
      <c r="C175" t="str">
        <f>VLOOKUP(B175,'Order Last Event Mapping'!A:A,1,FALSE)</f>
        <v>SF Assistance: Clarification Needed</v>
      </c>
    </row>
    <row r="176" spans="1:3" hidden="1" x14ac:dyDescent="0.25">
      <c r="A176">
        <v>1110</v>
      </c>
      <c r="B176" t="s">
        <v>72</v>
      </c>
      <c r="C176" t="str">
        <f>VLOOKUP(B176,'Order Last Event Mapping'!A:A,1,FALSE)</f>
        <v>SF Assistance: Missing Information from Prescriber</v>
      </c>
    </row>
    <row r="177" spans="1:3" hidden="1" x14ac:dyDescent="0.25">
      <c r="A177">
        <v>1109</v>
      </c>
      <c r="B177" t="s">
        <v>80</v>
      </c>
      <c r="C177" t="str">
        <f>VLOOKUP(B177,'Order Last Event Mapping'!A:A,1,FALSE)</f>
        <v>SF Assistance: PA Add'l Info needed from HCP</v>
      </c>
    </row>
    <row r="178" spans="1:3" hidden="1" x14ac:dyDescent="0.25">
      <c r="A178">
        <v>1108</v>
      </c>
      <c r="B178" t="s">
        <v>82</v>
      </c>
      <c r="C178" t="str">
        <f>VLOOKUP(B178,'Order Last Event Mapping'!A:A,1,FALSE)</f>
        <v>SF Assistance: PA Pending HCP Initial Submission</v>
      </c>
    </row>
    <row r="179" spans="1:3" hidden="1" x14ac:dyDescent="0.25">
      <c r="A179">
        <v>1107</v>
      </c>
      <c r="B179" t="s">
        <v>92</v>
      </c>
      <c r="C179" t="str">
        <f>VLOOKUP(B179,'Order Last Event Mapping'!A:A,1,FALSE)</f>
        <v>SF Assistance: Pending Phys- Alt Therapy Decision</v>
      </c>
    </row>
    <row r="180" spans="1:3" hidden="1" x14ac:dyDescent="0.25">
      <c r="A180">
        <v>1106</v>
      </c>
      <c r="B180" t="s">
        <v>88</v>
      </c>
      <c r="C180" t="str">
        <f>VLOOKUP(B180,'Order Last Event Mapping'!A:A,1,FALSE)</f>
        <v>SF Assistance: Pending Phys- PA Decision</v>
      </c>
    </row>
    <row r="181" spans="1:3" hidden="1" x14ac:dyDescent="0.25">
      <c r="A181">
        <v>1105</v>
      </c>
      <c r="B181" t="s">
        <v>90</v>
      </c>
      <c r="C181" t="str">
        <f>VLOOKUP(B181,'Order Last Event Mapping'!A:A,1,FALSE)</f>
        <v>SF Assistance: Pending Phys-Appeal Decision</v>
      </c>
    </row>
    <row r="182" spans="1:3" hidden="1" x14ac:dyDescent="0.25">
      <c r="A182">
        <v>1064</v>
      </c>
      <c r="B182" t="s">
        <v>319</v>
      </c>
      <c r="C182" t="str">
        <f>VLOOKUP(B182,'Order Last Event Mapping'!A:A,1,FALSE)</f>
        <v>SLAR- need MDO approval to ship</v>
      </c>
    </row>
    <row r="183" spans="1:3" hidden="1" x14ac:dyDescent="0.25">
      <c r="A183">
        <v>1079</v>
      </c>
      <c r="B183" t="s">
        <v>424</v>
      </c>
      <c r="C183" t="e">
        <f>VLOOKUP(B183,'Order Last Event Mapping'!A:A,1,FALSE)</f>
        <v>#N/A</v>
      </c>
    </row>
    <row r="184" spans="1:3" hidden="1" x14ac:dyDescent="0.25">
      <c r="A184">
        <v>1026</v>
      </c>
      <c r="B184" t="s">
        <v>425</v>
      </c>
      <c r="C184" t="e">
        <f>VLOOKUP(B184,'Order Last Event Mapping'!A:A,1,FALSE)</f>
        <v>#N/A</v>
      </c>
    </row>
    <row r="185" spans="1:3" hidden="1" x14ac:dyDescent="0.25">
      <c r="A185">
        <v>1040</v>
      </c>
      <c r="B185" t="s">
        <v>426</v>
      </c>
      <c r="C185" t="e">
        <f>VLOOKUP(B185,'Order Last Event Mapping'!A:A,1,FALSE)</f>
        <v>#N/A</v>
      </c>
    </row>
    <row r="186" spans="1:3" hidden="1" x14ac:dyDescent="0.25">
      <c r="A186">
        <v>1041</v>
      </c>
      <c r="B186" t="s">
        <v>427</v>
      </c>
      <c r="C186" t="e">
        <f>VLOOKUP(B186,'Order Last Event Mapping'!A:A,1,FALSE)</f>
        <v>#N/A</v>
      </c>
    </row>
    <row r="187" spans="1:3" hidden="1" x14ac:dyDescent="0.25">
      <c r="A187">
        <v>832</v>
      </c>
      <c r="B187" t="s">
        <v>428</v>
      </c>
      <c r="C187" t="e">
        <f>VLOOKUP(B187,'Order Last Event Mapping'!A:A,1,FALSE)</f>
        <v>#N/A</v>
      </c>
    </row>
    <row r="188" spans="1:3" hidden="1" x14ac:dyDescent="0.25">
      <c r="A188">
        <v>777</v>
      </c>
      <c r="B188" t="s">
        <v>429</v>
      </c>
      <c r="C188" t="e">
        <f>VLOOKUP(B188,'Order Last Event Mapping'!A:A,1,FALSE)</f>
        <v>#N/A</v>
      </c>
    </row>
    <row r="189" spans="1:3" hidden="1" x14ac:dyDescent="0.25">
      <c r="A189">
        <v>869</v>
      </c>
      <c r="B189" t="s">
        <v>430</v>
      </c>
      <c r="C189" t="e">
        <f>VLOOKUP(B189,'Order Last Event Mapping'!A:A,1,FALSE)</f>
        <v>#N/A</v>
      </c>
    </row>
    <row r="190" spans="1:3" hidden="1" x14ac:dyDescent="0.25">
      <c r="A190">
        <v>737</v>
      </c>
      <c r="B190" t="s">
        <v>431</v>
      </c>
      <c r="C190" t="e">
        <f>VLOOKUP(B190,'Order Last Event Mapping'!A:A,1,FALSE)</f>
        <v>#N/A</v>
      </c>
    </row>
    <row r="191" spans="1:3" hidden="1" x14ac:dyDescent="0.25">
      <c r="A191">
        <v>1033</v>
      </c>
      <c r="B191" t="s">
        <v>432</v>
      </c>
      <c r="C191" t="e">
        <f>VLOOKUP(B191,'Order Last Event Mapping'!A:A,1,FALSE)</f>
        <v>#N/A</v>
      </c>
    </row>
    <row r="192" spans="1:3" hidden="1" x14ac:dyDescent="0.25">
      <c r="A192">
        <v>684</v>
      </c>
      <c r="B192" t="s">
        <v>433</v>
      </c>
      <c r="C192" t="e">
        <f>VLOOKUP(B192,'Order Last Event Mapping'!A:A,1,FALSE)</f>
        <v>#N/A</v>
      </c>
    </row>
    <row r="193" spans="1:3" hidden="1" x14ac:dyDescent="0.25">
      <c r="A193">
        <v>689</v>
      </c>
      <c r="B193" t="s">
        <v>434</v>
      </c>
      <c r="C193" t="e">
        <f>VLOOKUP(B193,'Order Last Event Mapping'!A:A,1,FALSE)</f>
        <v>#N/A</v>
      </c>
    </row>
    <row r="194" spans="1:3" hidden="1" x14ac:dyDescent="0.25">
      <c r="A194">
        <v>670</v>
      </c>
      <c r="B194" t="s">
        <v>435</v>
      </c>
      <c r="C194" t="e">
        <f>VLOOKUP(B194,'Order Last Event Mapping'!A:A,1,FALSE)</f>
        <v>#N/A</v>
      </c>
    </row>
    <row r="195" spans="1:3" hidden="1" x14ac:dyDescent="0.25">
      <c r="A195">
        <v>859</v>
      </c>
      <c r="B195" t="s">
        <v>436</v>
      </c>
      <c r="C195" t="e">
        <f>VLOOKUP(B195,'Order Last Event Mapping'!A:A,1,FALSE)</f>
        <v>#N/A</v>
      </c>
    </row>
    <row r="196" spans="1:3" hidden="1" x14ac:dyDescent="0.25">
      <c r="A196">
        <v>871</v>
      </c>
      <c r="B196" t="s">
        <v>437</v>
      </c>
      <c r="C196" t="e">
        <f>VLOOKUP(B196,'Order Last Event Mapping'!A:A,1,FALSE)</f>
        <v>#N/A</v>
      </c>
    </row>
    <row r="197" spans="1:3" hidden="1" x14ac:dyDescent="0.25">
      <c r="A197">
        <v>860</v>
      </c>
      <c r="B197" t="s">
        <v>438</v>
      </c>
      <c r="C197" t="e">
        <f>VLOOKUP(B197,'Order Last Event Mapping'!A:A,1,FALSE)</f>
        <v>#N/A</v>
      </c>
    </row>
    <row r="198" spans="1:3" hidden="1" x14ac:dyDescent="0.25">
      <c r="A198">
        <v>855</v>
      </c>
      <c r="B198" t="s">
        <v>439</v>
      </c>
      <c r="C198" t="e">
        <f>VLOOKUP(B198,'Order Last Event Mapping'!A:A,1,FALSE)</f>
        <v>#N/A</v>
      </c>
    </row>
    <row r="199" spans="1:3" hidden="1" x14ac:dyDescent="0.25">
      <c r="A199">
        <v>854</v>
      </c>
      <c r="B199" t="s">
        <v>440</v>
      </c>
      <c r="C199" t="e">
        <f>VLOOKUP(B199,'Order Last Event Mapping'!A:A,1,FALSE)</f>
        <v>#N/A</v>
      </c>
    </row>
    <row r="200" spans="1:3" hidden="1" x14ac:dyDescent="0.25">
      <c r="A200">
        <v>877</v>
      </c>
      <c r="B200" t="s">
        <v>441</v>
      </c>
      <c r="C200" t="e">
        <f>VLOOKUP(B200,'Order Last Event Mapping'!A:A,1,FALSE)</f>
        <v>#N/A</v>
      </c>
    </row>
    <row r="201" spans="1:3" hidden="1" x14ac:dyDescent="0.25">
      <c r="A201">
        <v>858</v>
      </c>
      <c r="B201" t="s">
        <v>442</v>
      </c>
      <c r="C201" t="e">
        <f>VLOOKUP(B201,'Order Last Event Mapping'!A:A,1,FALSE)</f>
        <v>#N/A</v>
      </c>
    </row>
    <row r="202" spans="1:3" hidden="1" x14ac:dyDescent="0.25">
      <c r="A202">
        <v>856</v>
      </c>
      <c r="B202" t="s">
        <v>443</v>
      </c>
      <c r="C202" t="e">
        <f>VLOOKUP(B202,'Order Last Event Mapping'!A:A,1,FALSE)</f>
        <v>#N/A</v>
      </c>
    </row>
    <row r="203" spans="1:3" hidden="1" x14ac:dyDescent="0.25">
      <c r="A203">
        <v>882</v>
      </c>
      <c r="B203" t="s">
        <v>444</v>
      </c>
      <c r="C203" t="e">
        <f>VLOOKUP(B203,'Order Last Event Mapping'!A:A,1,FALSE)</f>
        <v>#N/A</v>
      </c>
    </row>
    <row r="204" spans="1:3" hidden="1" x14ac:dyDescent="0.25">
      <c r="A204">
        <v>681</v>
      </c>
      <c r="B204" t="s">
        <v>445</v>
      </c>
      <c r="C204" t="e">
        <f>VLOOKUP(B204,'Order Last Event Mapping'!A:A,1,FALSE)</f>
        <v>#N/A</v>
      </c>
    </row>
    <row r="205" spans="1:3" hidden="1" x14ac:dyDescent="0.25">
      <c r="A205">
        <v>713</v>
      </c>
      <c r="B205" t="s">
        <v>446</v>
      </c>
      <c r="C205" t="e">
        <f>VLOOKUP(B205,'Order Last Event Mapping'!A:A,1,FALSE)</f>
        <v>#N/A</v>
      </c>
    </row>
    <row r="206" spans="1:3" hidden="1" x14ac:dyDescent="0.25">
      <c r="A206">
        <v>673</v>
      </c>
      <c r="B206" t="s">
        <v>447</v>
      </c>
      <c r="C206" t="e">
        <f>VLOOKUP(B206,'Order Last Event Mapping'!A:A,1,FALSE)</f>
        <v>#N/A</v>
      </c>
    </row>
    <row r="207" spans="1:3" hidden="1" x14ac:dyDescent="0.25">
      <c r="A207">
        <v>691</v>
      </c>
      <c r="B207" t="s">
        <v>448</v>
      </c>
      <c r="C207" t="e">
        <f>VLOOKUP(B207,'Order Last Event Mapping'!A:A,1,FALSE)</f>
        <v>#N/A</v>
      </c>
    </row>
    <row r="208" spans="1:3" hidden="1" x14ac:dyDescent="0.25">
      <c r="A208">
        <v>926</v>
      </c>
      <c r="B208" t="s">
        <v>449</v>
      </c>
      <c r="C208" t="e">
        <f>VLOOKUP(B208,'Order Last Event Mapping'!A:A,1,FALSE)</f>
        <v>#N/A</v>
      </c>
    </row>
    <row r="209" spans="1:3" hidden="1" x14ac:dyDescent="0.25">
      <c r="A209">
        <v>1036</v>
      </c>
      <c r="B209" t="s">
        <v>450</v>
      </c>
      <c r="C209" t="e">
        <f>VLOOKUP(B209,'Order Last Event Mapping'!A:A,1,FALSE)</f>
        <v>#N/A</v>
      </c>
    </row>
    <row r="210" spans="1:3" hidden="1" x14ac:dyDescent="0.25">
      <c r="A210">
        <v>1080</v>
      </c>
      <c r="B210" t="s">
        <v>451</v>
      </c>
      <c r="C210" t="e">
        <f>VLOOKUP(B210,'Order Last Event Mapping'!A:A,1,FALSE)</f>
        <v>#N/A</v>
      </c>
    </row>
    <row r="211" spans="1:3" hidden="1" x14ac:dyDescent="0.25">
      <c r="A211">
        <v>672</v>
      </c>
      <c r="B211" t="s">
        <v>452</v>
      </c>
      <c r="C211" t="e">
        <f>VLOOKUP(B211,'Order Last Event Mapping'!A:A,1,FALSE)</f>
        <v>#N/A</v>
      </c>
    </row>
    <row r="212" spans="1:3" hidden="1" x14ac:dyDescent="0.25">
      <c r="A212">
        <v>952</v>
      </c>
      <c r="B212" t="s">
        <v>453</v>
      </c>
      <c r="C212" t="e">
        <f>VLOOKUP(B212,'Order Last Event Mapping'!A:A,1,FALSE)</f>
        <v>#N/A</v>
      </c>
    </row>
    <row r="213" spans="1:3" hidden="1" x14ac:dyDescent="0.25">
      <c r="A213">
        <v>749</v>
      </c>
      <c r="B213" t="s">
        <v>454</v>
      </c>
      <c r="C213" t="e">
        <f>VLOOKUP(B213,'Order Last Event Mapping'!A:A,1,FALSE)</f>
        <v>#N/A</v>
      </c>
    </row>
    <row r="214" spans="1:3" hidden="1" x14ac:dyDescent="0.25">
      <c r="A214">
        <v>741</v>
      </c>
      <c r="B214" t="s">
        <v>455</v>
      </c>
      <c r="C214" t="e">
        <f>VLOOKUP(B214,'Order Last Event Mapping'!A:A,1,FALSE)</f>
        <v>#N/A</v>
      </c>
    </row>
    <row r="215" spans="1:3" hidden="1" x14ac:dyDescent="0.25">
      <c r="A215">
        <v>692</v>
      </c>
      <c r="B215" t="s">
        <v>456</v>
      </c>
      <c r="C215" t="e">
        <f>VLOOKUP(B215,'Order Last Event Mapping'!A:A,1,FALSE)</f>
        <v>#N/A</v>
      </c>
    </row>
    <row r="216" spans="1:3" hidden="1" x14ac:dyDescent="0.25">
      <c r="A216">
        <v>747</v>
      </c>
      <c r="B216" t="s">
        <v>457</v>
      </c>
      <c r="C216" t="e">
        <f>VLOOKUP(B216,'Order Last Event Mapping'!A:A,1,FALSE)</f>
        <v>#N/A</v>
      </c>
    </row>
    <row r="217" spans="1:3" hidden="1" x14ac:dyDescent="0.25">
      <c r="A217">
        <v>701</v>
      </c>
      <c r="B217" t="s">
        <v>458</v>
      </c>
      <c r="C217" t="e">
        <f>VLOOKUP(B217,'Order Last Event Mapping'!A:A,1,FALSE)</f>
        <v>#N/A</v>
      </c>
    </row>
    <row r="218" spans="1:3" hidden="1" x14ac:dyDescent="0.25">
      <c r="A218">
        <v>1060</v>
      </c>
      <c r="B218" t="s">
        <v>459</v>
      </c>
      <c r="C218" t="e">
        <f>VLOOKUP(B218,'Order Last Event Mapping'!A:A,1,FALSE)</f>
        <v>#N/A</v>
      </c>
    </row>
    <row r="219" spans="1:3" hidden="1" x14ac:dyDescent="0.25">
      <c r="A219">
        <v>665</v>
      </c>
      <c r="B219" t="s">
        <v>460</v>
      </c>
      <c r="C219" t="e">
        <f>VLOOKUP(B219,'Order Last Event Mapping'!A:A,1,FALSE)</f>
        <v>#N/A</v>
      </c>
    </row>
    <row r="220" spans="1:3" hidden="1" x14ac:dyDescent="0.25">
      <c r="A220">
        <v>774</v>
      </c>
      <c r="B220" t="s">
        <v>461</v>
      </c>
      <c r="C220" t="e">
        <f>VLOOKUP(B220,'Order Last Event Mapping'!A:A,1,FALSE)</f>
        <v>#N/A</v>
      </c>
    </row>
    <row r="221" spans="1:3" hidden="1" x14ac:dyDescent="0.25">
      <c r="A221">
        <v>773</v>
      </c>
      <c r="B221" t="s">
        <v>462</v>
      </c>
      <c r="C221" t="e">
        <f>VLOOKUP(B221,'Order Last Event Mapping'!A:A,1,FALSE)</f>
        <v>#N/A</v>
      </c>
    </row>
    <row r="222" spans="1:3" hidden="1" x14ac:dyDescent="0.25">
      <c r="A222">
        <v>841</v>
      </c>
      <c r="B222" t="s">
        <v>463</v>
      </c>
      <c r="C222" t="e">
        <f>VLOOKUP(B222,'Order Last Event Mapping'!A:A,1,FALSE)</f>
        <v>#N/A</v>
      </c>
    </row>
    <row r="223" spans="1:3" hidden="1" x14ac:dyDescent="0.25">
      <c r="A223">
        <v>1007</v>
      </c>
      <c r="B223" t="s">
        <v>464</v>
      </c>
      <c r="C223" t="e">
        <f>VLOOKUP(B223,'Order Last Event Mapping'!A:A,1,FALSE)</f>
        <v>#N/A</v>
      </c>
    </row>
    <row r="224" spans="1:3" hidden="1" x14ac:dyDescent="0.25">
      <c r="A224">
        <v>824</v>
      </c>
      <c r="B224" t="s">
        <v>465</v>
      </c>
      <c r="C224" t="e">
        <f>VLOOKUP(B224,'Order Last Event Mapping'!A:A,1,FALSE)</f>
        <v>#N/A</v>
      </c>
    </row>
    <row r="225" spans="1:3" hidden="1" x14ac:dyDescent="0.25">
      <c r="A225">
        <v>1030</v>
      </c>
      <c r="B225" t="s">
        <v>466</v>
      </c>
      <c r="C225" t="e">
        <f>VLOOKUP(B225,'Order Last Event Mapping'!A:A,1,FALSE)</f>
        <v>#N/A</v>
      </c>
    </row>
    <row r="226" spans="1:3" hidden="1" x14ac:dyDescent="0.25">
      <c r="A226">
        <v>884</v>
      </c>
      <c r="B226" t="s">
        <v>467</v>
      </c>
      <c r="C226" t="e">
        <f>VLOOKUP(B226,'Order Last Event Mapping'!A:A,1,FALSE)</f>
        <v>#N/A</v>
      </c>
    </row>
    <row r="227" spans="1:3" hidden="1" x14ac:dyDescent="0.25">
      <c r="A227">
        <v>830</v>
      </c>
      <c r="B227" t="s">
        <v>468</v>
      </c>
      <c r="C227" t="e">
        <f>VLOOKUP(B227,'Order Last Event Mapping'!A:A,1,FALSE)</f>
        <v>#N/A</v>
      </c>
    </row>
    <row r="228" spans="1:3" hidden="1" x14ac:dyDescent="0.25">
      <c r="A228">
        <v>891</v>
      </c>
      <c r="B228" t="s">
        <v>469</v>
      </c>
      <c r="C228" t="e">
        <f>VLOOKUP(B228,'Order Last Event Mapping'!A:A,1,FALSE)</f>
        <v>#N/A</v>
      </c>
    </row>
    <row r="229" spans="1:3" hidden="1" x14ac:dyDescent="0.25">
      <c r="A229">
        <v>821</v>
      </c>
      <c r="B229" t="s">
        <v>470</v>
      </c>
      <c r="C229" t="e">
        <f>VLOOKUP(B229,'Order Last Event Mapping'!A:A,1,FALSE)</f>
        <v>#N/A</v>
      </c>
    </row>
    <row r="230" spans="1:3" hidden="1" x14ac:dyDescent="0.25">
      <c r="A230">
        <v>965</v>
      </c>
      <c r="B230" t="s">
        <v>471</v>
      </c>
      <c r="C230" t="e">
        <f>VLOOKUP(B230,'Order Last Event Mapping'!A:A,1,FALSE)</f>
        <v>#N/A</v>
      </c>
    </row>
    <row r="231" spans="1:3" hidden="1" x14ac:dyDescent="0.25">
      <c r="A231">
        <v>1013</v>
      </c>
      <c r="B231" t="s">
        <v>472</v>
      </c>
      <c r="C231" t="e">
        <f>VLOOKUP(B231,'Order Last Event Mapping'!A:A,1,FALSE)</f>
        <v>#N/A</v>
      </c>
    </row>
    <row r="232" spans="1:3" hidden="1" x14ac:dyDescent="0.25">
      <c r="A232">
        <v>820</v>
      </c>
      <c r="B232" t="s">
        <v>473</v>
      </c>
      <c r="C232" t="e">
        <f>VLOOKUP(B232,'Order Last Event Mapping'!A:A,1,FALSE)</f>
        <v>#N/A</v>
      </c>
    </row>
    <row r="233" spans="1:3" hidden="1" x14ac:dyDescent="0.25">
      <c r="A233">
        <v>1014</v>
      </c>
      <c r="B233" t="s">
        <v>474</v>
      </c>
      <c r="C233" t="e">
        <f>VLOOKUP(B233,'Order Last Event Mapping'!A:A,1,FALSE)</f>
        <v>#N/A</v>
      </c>
    </row>
    <row r="234" spans="1:3" hidden="1" x14ac:dyDescent="0.25">
      <c r="A234">
        <v>883</v>
      </c>
      <c r="B234" t="s">
        <v>475</v>
      </c>
      <c r="C234" t="e">
        <f>VLOOKUP(B234,'Order Last Event Mapping'!A:A,1,FALSE)</f>
        <v>#N/A</v>
      </c>
    </row>
    <row r="235" spans="1:3" hidden="1" x14ac:dyDescent="0.25">
      <c r="A235">
        <v>861</v>
      </c>
      <c r="B235" t="s">
        <v>476</v>
      </c>
      <c r="C235" t="e">
        <f>VLOOKUP(B235,'Order Last Event Mapping'!A:A,1,FALSE)</f>
        <v>#N/A</v>
      </c>
    </row>
    <row r="236" spans="1:3" hidden="1" x14ac:dyDescent="0.25">
      <c r="A236">
        <v>819</v>
      </c>
      <c r="B236" t="s">
        <v>477</v>
      </c>
      <c r="C236" t="e">
        <f>VLOOKUP(B236,'Order Last Event Mapping'!A:A,1,FALSE)</f>
        <v>#N/A</v>
      </c>
    </row>
    <row r="237" spans="1:3" hidden="1" x14ac:dyDescent="0.25">
      <c r="A237">
        <v>818</v>
      </c>
      <c r="B237" t="s">
        <v>478</v>
      </c>
      <c r="C237" t="e">
        <f>VLOOKUP(B237,'Order Last Event Mapping'!A:A,1,FALSE)</f>
        <v>#N/A</v>
      </c>
    </row>
    <row r="238" spans="1:3" hidden="1" x14ac:dyDescent="0.25">
      <c r="A238">
        <v>853</v>
      </c>
      <c r="B238" t="s">
        <v>479</v>
      </c>
      <c r="C238" t="e">
        <f>VLOOKUP(B238,'Order Last Event Mapping'!A:A,1,FALSE)</f>
        <v>#N/A</v>
      </c>
    </row>
    <row r="239" spans="1:3" hidden="1" x14ac:dyDescent="0.25">
      <c r="A239">
        <v>888</v>
      </c>
      <c r="B239" t="s">
        <v>480</v>
      </c>
      <c r="C239" t="e">
        <f>VLOOKUP(B239,'Order Last Event Mapping'!A:A,1,FALSE)</f>
        <v>#N/A</v>
      </c>
    </row>
    <row r="240" spans="1:3" hidden="1" x14ac:dyDescent="0.25">
      <c r="A240">
        <v>1023</v>
      </c>
      <c r="B240" t="s">
        <v>481</v>
      </c>
      <c r="C240" t="e">
        <f>VLOOKUP(B240,'Order Last Event Mapping'!A:A,1,FALSE)</f>
        <v>#N/A</v>
      </c>
    </row>
    <row r="241" spans="1:3" hidden="1" x14ac:dyDescent="0.25">
      <c r="A241">
        <v>795</v>
      </c>
      <c r="B241" t="s">
        <v>482</v>
      </c>
      <c r="C241" t="e">
        <f>VLOOKUP(B241,'Order Last Event Mapping'!A:A,1,FALSE)</f>
        <v>#N/A</v>
      </c>
    </row>
    <row r="242" spans="1:3" hidden="1" x14ac:dyDescent="0.25">
      <c r="A242">
        <v>658</v>
      </c>
      <c r="B242" t="s">
        <v>483</v>
      </c>
      <c r="C242" t="e">
        <f>VLOOKUP(B242,'Order Last Event Mapping'!A:A,1,FALSE)</f>
        <v>#N/A</v>
      </c>
    </row>
    <row r="243" spans="1:3" hidden="1" x14ac:dyDescent="0.25">
      <c r="A243">
        <v>659</v>
      </c>
      <c r="B243" t="s">
        <v>484</v>
      </c>
      <c r="C243" t="e">
        <f>VLOOKUP(B243,'Order Last Event Mapping'!A:A,1,FALSE)</f>
        <v>#N/A</v>
      </c>
    </row>
    <row r="244" spans="1:3" hidden="1" x14ac:dyDescent="0.25">
      <c r="A244">
        <v>697</v>
      </c>
      <c r="B244" t="s">
        <v>485</v>
      </c>
      <c r="C244" t="e">
        <f>VLOOKUP(B244,'Order Last Event Mapping'!A:A,1,FALSE)</f>
        <v>#N/A</v>
      </c>
    </row>
    <row r="245" spans="1:3" hidden="1" x14ac:dyDescent="0.25">
      <c r="A245">
        <v>693</v>
      </c>
      <c r="B245" t="s">
        <v>486</v>
      </c>
      <c r="C245" t="e">
        <f>VLOOKUP(B245,'Order Last Event Mapping'!A:A,1,FALSE)</f>
        <v>#N/A</v>
      </c>
    </row>
    <row r="246" spans="1:3" hidden="1" x14ac:dyDescent="0.25">
      <c r="A246">
        <v>680</v>
      </c>
      <c r="B246" t="s">
        <v>487</v>
      </c>
      <c r="C246" t="e">
        <f>VLOOKUP(B246,'Order Last Event Mapping'!A:A,1,FALSE)</f>
        <v>#N/A</v>
      </c>
    </row>
    <row r="247" spans="1:3" hidden="1" x14ac:dyDescent="0.25">
      <c r="A247">
        <v>776</v>
      </c>
      <c r="B247" t="s">
        <v>488</v>
      </c>
      <c r="C247" t="e">
        <f>VLOOKUP(B247,'Order Last Event Mapping'!A:A,1,FALSE)</f>
        <v>#N/A</v>
      </c>
    </row>
    <row r="248" spans="1:3" hidden="1" x14ac:dyDescent="0.25">
      <c r="A248">
        <v>1024</v>
      </c>
      <c r="B248" t="s">
        <v>489</v>
      </c>
      <c r="C248" t="e">
        <f>VLOOKUP(B248,'Order Last Event Mapping'!A:A,1,FALSE)</f>
        <v>#N/A</v>
      </c>
    </row>
    <row r="249" spans="1:3" hidden="1" x14ac:dyDescent="0.25">
      <c r="A249">
        <v>799</v>
      </c>
      <c r="B249" t="s">
        <v>490</v>
      </c>
      <c r="C249" t="e">
        <f>VLOOKUP(B249,'Order Last Event Mapping'!A:A,1,FALSE)</f>
        <v>#N/A</v>
      </c>
    </row>
    <row r="250" spans="1:3" hidden="1" x14ac:dyDescent="0.25">
      <c r="A250">
        <v>682</v>
      </c>
      <c r="B250" t="s">
        <v>491</v>
      </c>
      <c r="C250" t="e">
        <f>VLOOKUP(B250,'Order Last Event Mapping'!A:A,1,FALSE)</f>
        <v>#N/A</v>
      </c>
    </row>
    <row r="251" spans="1:3" hidden="1" x14ac:dyDescent="0.25">
      <c r="A251">
        <v>957</v>
      </c>
      <c r="B251" t="s">
        <v>492</v>
      </c>
      <c r="C251" t="e">
        <f>VLOOKUP(B251,'Order Last Event Mapping'!A:A,1,FALSE)</f>
        <v>#N/A</v>
      </c>
    </row>
    <row r="252" spans="1:3" hidden="1" x14ac:dyDescent="0.25">
      <c r="A252">
        <v>696</v>
      </c>
      <c r="B252" t="s">
        <v>493</v>
      </c>
      <c r="C252" t="e">
        <f>VLOOKUP(B252,'Order Last Event Mapping'!A:A,1,FALSE)</f>
        <v>#N/A</v>
      </c>
    </row>
    <row r="253" spans="1:3" hidden="1" x14ac:dyDescent="0.25">
      <c r="A253">
        <v>857</v>
      </c>
      <c r="B253" t="s">
        <v>494</v>
      </c>
      <c r="C253" t="e">
        <f>VLOOKUP(B253,'Order Last Event Mapping'!A:A,1,FALSE)</f>
        <v>#N/A</v>
      </c>
    </row>
    <row r="254" spans="1:3" hidden="1" x14ac:dyDescent="0.25">
      <c r="A254">
        <v>1134</v>
      </c>
      <c r="B254" t="s">
        <v>495</v>
      </c>
      <c r="C254" t="e">
        <f>VLOOKUP(B254,'Order Last Event Mapping'!A:A,1,FALSE)</f>
        <v>#N/A</v>
      </c>
    </row>
    <row r="255" spans="1:3" hidden="1" x14ac:dyDescent="0.25">
      <c r="A255">
        <v>699</v>
      </c>
      <c r="B255" t="s">
        <v>496</v>
      </c>
      <c r="C255" t="e">
        <f>VLOOKUP(B255,'Order Last Event Mapping'!A:A,1,FALSE)</f>
        <v>#N/A</v>
      </c>
    </row>
    <row r="256" spans="1:3" hidden="1" x14ac:dyDescent="0.25">
      <c r="A256">
        <v>936</v>
      </c>
      <c r="B256" t="s">
        <v>497</v>
      </c>
      <c r="C256" t="e">
        <f>VLOOKUP(B256,'Order Last Event Mapping'!A:A,1,FALSE)</f>
        <v>#N/A</v>
      </c>
    </row>
    <row r="257" spans="1:3" hidden="1" x14ac:dyDescent="0.25">
      <c r="A257">
        <v>939</v>
      </c>
      <c r="B257" t="s">
        <v>498</v>
      </c>
      <c r="C257" t="e">
        <f>VLOOKUP(B257,'Order Last Event Mapping'!A:A,1,FALSE)</f>
        <v>#N/A</v>
      </c>
    </row>
    <row r="258" spans="1:3" hidden="1" x14ac:dyDescent="0.25">
      <c r="A258">
        <v>940</v>
      </c>
      <c r="B258" t="s">
        <v>499</v>
      </c>
      <c r="C258" t="e">
        <f>VLOOKUP(B258,'Order Last Event Mapping'!A:A,1,FALSE)</f>
        <v>#N/A</v>
      </c>
    </row>
    <row r="259" spans="1:3" hidden="1" x14ac:dyDescent="0.25">
      <c r="A259">
        <v>935</v>
      </c>
      <c r="B259" t="s">
        <v>500</v>
      </c>
      <c r="C259" t="e">
        <f>VLOOKUP(B259,'Order Last Event Mapping'!A:A,1,FALSE)</f>
        <v>#N/A</v>
      </c>
    </row>
    <row r="260" spans="1:3" hidden="1" x14ac:dyDescent="0.25">
      <c r="A260">
        <v>937</v>
      </c>
      <c r="B260" t="s">
        <v>501</v>
      </c>
      <c r="C260" t="e">
        <f>VLOOKUP(B260,'Order Last Event Mapping'!A:A,1,FALSE)</f>
        <v>#N/A</v>
      </c>
    </row>
    <row r="261" spans="1:3" hidden="1" x14ac:dyDescent="0.25">
      <c r="A261">
        <v>842</v>
      </c>
      <c r="B261" t="s">
        <v>502</v>
      </c>
      <c r="C261" t="e">
        <f>VLOOKUP(B261,'Order Last Event Mapping'!A:A,1,FALSE)</f>
        <v>#N/A</v>
      </c>
    </row>
    <row r="262" spans="1:3" hidden="1" x14ac:dyDescent="0.25">
      <c r="A262">
        <v>829</v>
      </c>
      <c r="B262" t="s">
        <v>503</v>
      </c>
      <c r="C262" t="e">
        <f>VLOOKUP(B262,'Order Last Event Mapping'!A:A,1,FALSE)</f>
        <v>#N/A</v>
      </c>
    </row>
    <row r="263" spans="1:3" hidden="1" x14ac:dyDescent="0.25">
      <c r="A263">
        <v>676</v>
      </c>
      <c r="B263" t="s">
        <v>504</v>
      </c>
      <c r="C263" t="e">
        <f>VLOOKUP(B263,'Order Last Event Mapping'!A:A,1,FALSE)</f>
        <v>#N/A</v>
      </c>
    </row>
    <row r="264" spans="1:3" hidden="1" x14ac:dyDescent="0.25">
      <c r="A264">
        <v>892</v>
      </c>
      <c r="B264" t="s">
        <v>505</v>
      </c>
      <c r="C264" t="e">
        <f>VLOOKUP(B264,'Order Last Event Mapping'!A:A,1,FALSE)</f>
        <v>#N/A</v>
      </c>
    </row>
    <row r="265" spans="1:3" hidden="1" x14ac:dyDescent="0.25">
      <c r="A265">
        <v>677</v>
      </c>
      <c r="B265" t="s">
        <v>506</v>
      </c>
      <c r="C265" t="e">
        <f>VLOOKUP(B265,'Order Last Event Mapping'!A:A,1,FALSE)</f>
        <v>#N/A</v>
      </c>
    </row>
    <row r="266" spans="1:3" hidden="1" x14ac:dyDescent="0.25">
      <c r="A266">
        <v>719</v>
      </c>
      <c r="B266" t="s">
        <v>507</v>
      </c>
      <c r="C266" t="e">
        <f>VLOOKUP(B266,'Order Last Event Mapping'!A:A,1,FALSE)</f>
        <v>#N/A</v>
      </c>
    </row>
    <row r="267" spans="1:3" hidden="1" x14ac:dyDescent="0.25">
      <c r="A267">
        <v>694</v>
      </c>
      <c r="B267" t="s">
        <v>508</v>
      </c>
      <c r="C267" t="e">
        <f>VLOOKUP(B267,'Order Last Event Mapping'!A:A,1,FALSE)</f>
        <v>#N/A</v>
      </c>
    </row>
    <row r="268" spans="1:3" hidden="1" x14ac:dyDescent="0.25">
      <c r="A268">
        <v>840</v>
      </c>
      <c r="B268" t="s">
        <v>509</v>
      </c>
      <c r="C268" t="e">
        <f>VLOOKUP(B268,'Order Last Event Mapping'!A:A,1,FALSE)</f>
        <v>#N/A</v>
      </c>
    </row>
    <row r="269" spans="1:3" hidden="1" x14ac:dyDescent="0.25">
      <c r="A269">
        <v>983</v>
      </c>
      <c r="B269" t="s">
        <v>510</v>
      </c>
      <c r="C269" t="e">
        <f>VLOOKUP(B269,'Order Last Event Mapping'!A:A,1,FALSE)</f>
        <v>#N/A</v>
      </c>
    </row>
    <row r="270" spans="1:3" hidden="1" x14ac:dyDescent="0.25">
      <c r="A270">
        <v>669</v>
      </c>
      <c r="B270" t="s">
        <v>511</v>
      </c>
      <c r="C270" t="e">
        <f>VLOOKUP(B270,'Order Last Event Mapping'!A:A,1,FALSE)</f>
        <v>#N/A</v>
      </c>
    </row>
    <row r="271" spans="1:3" hidden="1" x14ac:dyDescent="0.25">
      <c r="A271">
        <v>662</v>
      </c>
      <c r="B271" t="s">
        <v>512</v>
      </c>
      <c r="C271" t="e">
        <f>VLOOKUP(B271,'Order Last Event Mapping'!A:A,1,FALSE)</f>
        <v>#N/A</v>
      </c>
    </row>
    <row r="272" spans="1:3" hidden="1" x14ac:dyDescent="0.25">
      <c r="A272">
        <v>970</v>
      </c>
      <c r="B272" t="s">
        <v>513</v>
      </c>
      <c r="C272" t="e">
        <f>VLOOKUP(B272,'Order Last Event Mapping'!A:A,1,FALSE)</f>
        <v>#N/A</v>
      </c>
    </row>
    <row r="273" spans="1:3" hidden="1" x14ac:dyDescent="0.25">
      <c r="A273">
        <v>971</v>
      </c>
      <c r="B273" t="s">
        <v>514</v>
      </c>
      <c r="C273" t="e">
        <f>VLOOKUP(B273,'Order Last Event Mapping'!A:A,1,FALSE)</f>
        <v>#N/A</v>
      </c>
    </row>
    <row r="274" spans="1:3" hidden="1" x14ac:dyDescent="0.25">
      <c r="A274">
        <v>973</v>
      </c>
      <c r="B274" t="s">
        <v>515</v>
      </c>
      <c r="C274" t="e">
        <f>VLOOKUP(B274,'Order Last Event Mapping'!A:A,1,FALSE)</f>
        <v>#N/A</v>
      </c>
    </row>
    <row r="275" spans="1:3" hidden="1" x14ac:dyDescent="0.25">
      <c r="A275">
        <v>976</v>
      </c>
      <c r="B275" t="s">
        <v>516</v>
      </c>
      <c r="C275" t="e">
        <f>VLOOKUP(B275,'Order Last Event Mapping'!A:A,1,FALSE)</f>
        <v>#N/A</v>
      </c>
    </row>
    <row r="276" spans="1:3" hidden="1" x14ac:dyDescent="0.25">
      <c r="A276">
        <v>1011</v>
      </c>
      <c r="B276" t="s">
        <v>517</v>
      </c>
      <c r="C276" t="e">
        <f>VLOOKUP(B276,'Order Last Event Mapping'!A:A,1,FALSE)</f>
        <v>#N/A</v>
      </c>
    </row>
    <row r="277" spans="1:3" hidden="1" x14ac:dyDescent="0.25">
      <c r="A277">
        <v>978</v>
      </c>
      <c r="B277" t="s">
        <v>518</v>
      </c>
      <c r="C277" t="e">
        <f>VLOOKUP(B277,'Order Last Event Mapping'!A:A,1,FALSE)</f>
        <v>#N/A</v>
      </c>
    </row>
    <row r="278" spans="1:3" hidden="1" x14ac:dyDescent="0.25">
      <c r="A278">
        <v>986</v>
      </c>
      <c r="B278" t="s">
        <v>519</v>
      </c>
      <c r="C278" t="e">
        <f>VLOOKUP(B278,'Order Last Event Mapping'!A:A,1,FALSE)</f>
        <v>#N/A</v>
      </c>
    </row>
    <row r="279" spans="1:3" hidden="1" x14ac:dyDescent="0.25">
      <c r="A279">
        <v>968</v>
      </c>
      <c r="B279" t="s">
        <v>520</v>
      </c>
      <c r="C279" t="e">
        <f>VLOOKUP(B279,'Order Last Event Mapping'!A:A,1,FALSE)</f>
        <v>#N/A</v>
      </c>
    </row>
    <row r="280" spans="1:3" hidden="1" x14ac:dyDescent="0.25">
      <c r="A280">
        <v>969</v>
      </c>
      <c r="B280" t="s">
        <v>521</v>
      </c>
      <c r="C280" t="e">
        <f>VLOOKUP(B280,'Order Last Event Mapping'!A:A,1,FALSE)</f>
        <v>#N/A</v>
      </c>
    </row>
    <row r="281" spans="1:3" hidden="1" x14ac:dyDescent="0.25">
      <c r="A281">
        <v>989</v>
      </c>
      <c r="B281" t="s">
        <v>522</v>
      </c>
      <c r="C281" t="e">
        <f>VLOOKUP(B281,'Order Last Event Mapping'!A:A,1,FALSE)</f>
        <v>#N/A</v>
      </c>
    </row>
    <row r="282" spans="1:3" hidden="1" x14ac:dyDescent="0.25">
      <c r="A282">
        <v>981</v>
      </c>
      <c r="B282" t="s">
        <v>523</v>
      </c>
      <c r="C282" t="e">
        <f>VLOOKUP(B282,'Order Last Event Mapping'!A:A,1,FALSE)</f>
        <v>#N/A</v>
      </c>
    </row>
    <row r="283" spans="1:3" hidden="1" x14ac:dyDescent="0.25">
      <c r="A283">
        <v>982</v>
      </c>
      <c r="B283" t="s">
        <v>524</v>
      </c>
      <c r="C283" t="e">
        <f>VLOOKUP(B283,'Order Last Event Mapping'!A:A,1,FALSE)</f>
        <v>#N/A</v>
      </c>
    </row>
    <row r="284" spans="1:3" hidden="1" x14ac:dyDescent="0.25">
      <c r="A284">
        <v>984</v>
      </c>
      <c r="B284" t="s">
        <v>525</v>
      </c>
      <c r="C284" t="e">
        <f>VLOOKUP(B284,'Order Last Event Mapping'!A:A,1,FALSE)</f>
        <v>#N/A</v>
      </c>
    </row>
    <row r="285" spans="1:3" hidden="1" x14ac:dyDescent="0.25">
      <c r="A285">
        <v>663</v>
      </c>
      <c r="B285" t="s">
        <v>526</v>
      </c>
      <c r="C285" t="e">
        <f>VLOOKUP(B285,'Order Last Event Mapping'!A:A,1,FALSE)</f>
        <v>#N/A</v>
      </c>
    </row>
    <row r="286" spans="1:3" hidden="1" x14ac:dyDescent="0.25">
      <c r="A286">
        <v>687</v>
      </c>
      <c r="B286" t="s">
        <v>527</v>
      </c>
      <c r="C286" t="e">
        <f>VLOOKUP(B286,'Order Last Event Mapping'!A:A,1,FALSE)</f>
        <v>#N/A</v>
      </c>
    </row>
    <row r="287" spans="1:3" hidden="1" x14ac:dyDescent="0.25">
      <c r="A287">
        <v>1085</v>
      </c>
      <c r="B287" t="s">
        <v>528</v>
      </c>
      <c r="C287" t="e">
        <f>VLOOKUP(B287,'Order Last Event Mapping'!A:A,1,FALSE)</f>
        <v>#N/A</v>
      </c>
    </row>
    <row r="288" spans="1:3" hidden="1" x14ac:dyDescent="0.25">
      <c r="A288">
        <v>807</v>
      </c>
      <c r="B288" t="s">
        <v>529</v>
      </c>
      <c r="C288" t="e">
        <f>VLOOKUP(B288,'Order Last Event Mapping'!A:A,1,FALSE)</f>
        <v>#N/A</v>
      </c>
    </row>
    <row r="289" spans="1:3" hidden="1" x14ac:dyDescent="0.25">
      <c r="A289">
        <v>1034</v>
      </c>
      <c r="B289" t="s">
        <v>530</v>
      </c>
      <c r="C289" t="e">
        <f>VLOOKUP(B289,'Order Last Event Mapping'!A:A,1,FALSE)</f>
        <v>#N/A</v>
      </c>
    </row>
    <row r="290" spans="1:3" hidden="1" x14ac:dyDescent="0.25">
      <c r="A290">
        <v>1025</v>
      </c>
      <c r="B290" t="s">
        <v>531</v>
      </c>
      <c r="C290" t="e">
        <f>VLOOKUP(B290,'Order Last Event Mapping'!A:A,1,FALSE)</f>
        <v>#N/A</v>
      </c>
    </row>
    <row r="291" spans="1:3" hidden="1" x14ac:dyDescent="0.25">
      <c r="A291">
        <v>806</v>
      </c>
      <c r="B291" t="s">
        <v>532</v>
      </c>
      <c r="C291" t="e">
        <f>VLOOKUP(B291,'Order Last Event Mapping'!A:A,1,FALSE)</f>
        <v>#N/A</v>
      </c>
    </row>
    <row r="292" spans="1:3" hidden="1" x14ac:dyDescent="0.25">
      <c r="A292">
        <v>668</v>
      </c>
      <c r="B292" t="s">
        <v>533</v>
      </c>
      <c r="C292" t="e">
        <f>VLOOKUP(B292,'Order Last Event Mapping'!A:A,1,FALSE)</f>
        <v>#N/A</v>
      </c>
    </row>
    <row r="293" spans="1:3" hidden="1" x14ac:dyDescent="0.25">
      <c r="A293">
        <v>688</v>
      </c>
      <c r="B293" t="s">
        <v>534</v>
      </c>
      <c r="C293" t="e">
        <f>VLOOKUP(B293,'Order Last Event Mapping'!A:A,1,FALSE)</f>
        <v>#N/A</v>
      </c>
    </row>
    <row r="294" spans="1:3" hidden="1" x14ac:dyDescent="0.25">
      <c r="A294">
        <v>731</v>
      </c>
      <c r="B294" t="s">
        <v>535</v>
      </c>
      <c r="C294" t="e">
        <f>VLOOKUP(B294,'Order Last Event Mapping'!A:A,1,FALSE)</f>
        <v>#N/A</v>
      </c>
    </row>
    <row r="295" spans="1:3" hidden="1" x14ac:dyDescent="0.25">
      <c r="A295">
        <v>675</v>
      </c>
      <c r="B295" t="s">
        <v>536</v>
      </c>
      <c r="C295" t="e">
        <f>VLOOKUP(B295,'Order Last Event Mapping'!A:A,1,FALSE)</f>
        <v>#N/A</v>
      </c>
    </row>
    <row r="296" spans="1:3" hidden="1" x14ac:dyDescent="0.25">
      <c r="A296">
        <v>690</v>
      </c>
      <c r="B296" t="s">
        <v>537</v>
      </c>
      <c r="C296" t="e">
        <f>VLOOKUP(B296,'Order Last Event Mapping'!A:A,1,FALSE)</f>
        <v>#N/A</v>
      </c>
    </row>
    <row r="297" spans="1:3" hidden="1" x14ac:dyDescent="0.25">
      <c r="A297">
        <v>685</v>
      </c>
      <c r="B297" t="s">
        <v>538</v>
      </c>
      <c r="C297" t="e">
        <f>VLOOKUP(B297,'Order Last Event Mapping'!A:A,1,FALSE)</f>
        <v>#N/A</v>
      </c>
    </row>
    <row r="298" spans="1:3" hidden="1" x14ac:dyDescent="0.25">
      <c r="A298">
        <v>925</v>
      </c>
      <c r="B298" t="s">
        <v>539</v>
      </c>
      <c r="C298" t="e">
        <f>VLOOKUP(B298,'Order Last Event Mapping'!A:A,1,FALSE)</f>
        <v>#N/A</v>
      </c>
    </row>
    <row r="299" spans="1:3" hidden="1" x14ac:dyDescent="0.25">
      <c r="A299">
        <v>678</v>
      </c>
      <c r="B299" t="s">
        <v>540</v>
      </c>
      <c r="C299" t="e">
        <f>VLOOKUP(B299,'Order Last Event Mapping'!A:A,1,FALSE)</f>
        <v>#N/A</v>
      </c>
    </row>
    <row r="300" spans="1:3" hidden="1" x14ac:dyDescent="0.25">
      <c r="A300">
        <v>686</v>
      </c>
      <c r="B300" t="s">
        <v>541</v>
      </c>
      <c r="C300" t="e">
        <f>VLOOKUP(B300,'Order Last Event Mapping'!A:A,1,FALSE)</f>
        <v>#N/A</v>
      </c>
    </row>
    <row r="301" spans="1:3" hidden="1" x14ac:dyDescent="0.25">
      <c r="A301">
        <v>955</v>
      </c>
      <c r="B301" t="s">
        <v>542</v>
      </c>
      <c r="C301" t="e">
        <f>VLOOKUP(B301,'Order Last Event Mapping'!A:A,1,FALSE)</f>
        <v>#N/A</v>
      </c>
    </row>
    <row r="302" spans="1:3" hidden="1" x14ac:dyDescent="0.25">
      <c r="A302">
        <v>752</v>
      </c>
      <c r="B302" t="s">
        <v>543</v>
      </c>
      <c r="C302" t="e">
        <f>VLOOKUP(B302,'Order Last Event Mapping'!A:A,1,FALSE)</f>
        <v>#N/A</v>
      </c>
    </row>
    <row r="303" spans="1:3" hidden="1" x14ac:dyDescent="0.25">
      <c r="A303">
        <v>1017</v>
      </c>
      <c r="B303" t="s">
        <v>544</v>
      </c>
      <c r="C303" t="e">
        <f>VLOOKUP(B303,'Order Last Event Mapping'!A:A,1,FALSE)</f>
        <v>#N/A</v>
      </c>
    </row>
    <row r="304" spans="1:3" hidden="1" x14ac:dyDescent="0.25">
      <c r="A304">
        <v>823</v>
      </c>
      <c r="B304" t="s">
        <v>545</v>
      </c>
      <c r="C304" t="e">
        <f>VLOOKUP(B304,'Order Last Event Mapping'!A:A,1,FALSE)</f>
        <v>#N/A</v>
      </c>
    </row>
    <row r="305" spans="1:3" hidden="1" x14ac:dyDescent="0.25">
      <c r="A305">
        <v>868</v>
      </c>
      <c r="B305" t="s">
        <v>546</v>
      </c>
      <c r="C305" t="e">
        <f>VLOOKUP(B305,'Order Last Event Mapping'!A:A,1,FALSE)</f>
        <v>#N/A</v>
      </c>
    </row>
    <row r="306" spans="1:3" hidden="1" x14ac:dyDescent="0.25">
      <c r="A306">
        <v>834</v>
      </c>
      <c r="B306" t="s">
        <v>547</v>
      </c>
      <c r="C306" t="e">
        <f>VLOOKUP(B306,'Order Last Event Mapping'!A:A,1,FALSE)</f>
        <v>#N/A</v>
      </c>
    </row>
    <row r="307" spans="1:3" hidden="1" x14ac:dyDescent="0.25">
      <c r="A307">
        <v>835</v>
      </c>
      <c r="B307" t="s">
        <v>548</v>
      </c>
      <c r="C307" t="e">
        <f>VLOOKUP(B307,'Order Last Event Mapping'!A:A,1,FALSE)</f>
        <v>#N/A</v>
      </c>
    </row>
    <row r="308" spans="1:3" hidden="1" x14ac:dyDescent="0.25">
      <c r="A308">
        <v>878</v>
      </c>
      <c r="B308" t="s">
        <v>549</v>
      </c>
      <c r="C308" t="e">
        <f>VLOOKUP(B308,'Order Last Event Mapping'!A:A,1,FALSE)</f>
        <v>#N/A</v>
      </c>
    </row>
    <row r="309" spans="1:3" hidden="1" x14ac:dyDescent="0.25">
      <c r="A309">
        <v>826</v>
      </c>
      <c r="B309" t="s">
        <v>550</v>
      </c>
      <c r="C309" t="e">
        <f>VLOOKUP(B309,'Order Last Event Mapping'!A:A,1,FALSE)</f>
        <v>#N/A</v>
      </c>
    </row>
    <row r="310" spans="1:3" hidden="1" x14ac:dyDescent="0.25">
      <c r="A310">
        <v>817</v>
      </c>
      <c r="B310" t="s">
        <v>551</v>
      </c>
      <c r="C310" t="e">
        <f>VLOOKUP(B310,'Order Last Event Mapping'!A:A,1,FALSE)</f>
        <v>#N/A</v>
      </c>
    </row>
    <row r="311" spans="1:3" hidden="1" x14ac:dyDescent="0.25">
      <c r="A311">
        <v>814</v>
      </c>
      <c r="B311" t="s">
        <v>552</v>
      </c>
      <c r="C311" t="e">
        <f>VLOOKUP(B311,'Order Last Event Mapping'!A:A,1,FALSE)</f>
        <v>#N/A</v>
      </c>
    </row>
    <row r="312" spans="1:3" hidden="1" x14ac:dyDescent="0.25">
      <c r="A312">
        <v>811</v>
      </c>
      <c r="B312" t="s">
        <v>553</v>
      </c>
      <c r="C312" t="e">
        <f>VLOOKUP(B312,'Order Last Event Mapping'!A:A,1,FALSE)</f>
        <v>#N/A</v>
      </c>
    </row>
    <row r="313" spans="1:3" hidden="1" x14ac:dyDescent="0.25">
      <c r="A313">
        <v>908</v>
      </c>
      <c r="B313" t="s">
        <v>554</v>
      </c>
      <c r="C313" t="e">
        <f>VLOOKUP(B313,'Order Last Event Mapping'!A:A,1,FALSE)</f>
        <v>#N/A</v>
      </c>
    </row>
    <row r="314" spans="1:3" hidden="1" x14ac:dyDescent="0.25">
      <c r="A314">
        <v>812</v>
      </c>
      <c r="B314" t="s">
        <v>555</v>
      </c>
      <c r="C314" t="e">
        <f>VLOOKUP(B314,'Order Last Event Mapping'!A:A,1,FALSE)</f>
        <v>#N/A</v>
      </c>
    </row>
    <row r="315" spans="1:3" hidden="1" x14ac:dyDescent="0.25">
      <c r="A315">
        <v>813</v>
      </c>
      <c r="B315" t="s">
        <v>556</v>
      </c>
      <c r="C315" t="e">
        <f>VLOOKUP(B315,'Order Last Event Mapping'!A:A,1,FALSE)</f>
        <v>#N/A</v>
      </c>
    </row>
    <row r="316" spans="1:3" hidden="1" x14ac:dyDescent="0.25">
      <c r="A316">
        <v>815</v>
      </c>
      <c r="B316" t="s">
        <v>557</v>
      </c>
      <c r="C316" t="e">
        <f>VLOOKUP(B316,'Order Last Event Mapping'!A:A,1,FALSE)</f>
        <v>#N/A</v>
      </c>
    </row>
    <row r="317" spans="1:3" hidden="1" x14ac:dyDescent="0.25">
      <c r="A317">
        <v>904</v>
      </c>
      <c r="B317" t="s">
        <v>558</v>
      </c>
      <c r="C317" t="e">
        <f>VLOOKUP(B317,'Order Last Event Mapping'!A:A,1,FALSE)</f>
        <v>#N/A</v>
      </c>
    </row>
    <row r="318" spans="1:3" hidden="1" x14ac:dyDescent="0.25">
      <c r="A318">
        <v>816</v>
      </c>
      <c r="B318" t="s">
        <v>559</v>
      </c>
      <c r="C318" t="e">
        <f>VLOOKUP(B318,'Order Last Event Mapping'!A:A,1,FALSE)</f>
        <v>#N/A</v>
      </c>
    </row>
    <row r="319" spans="1:3" hidden="1" x14ac:dyDescent="0.25">
      <c r="A319">
        <v>843</v>
      </c>
      <c r="B319" t="s">
        <v>560</v>
      </c>
      <c r="C319" t="e">
        <f>VLOOKUP(B319,'Order Last Event Mapping'!A:A,1,FALSE)</f>
        <v>#N/A</v>
      </c>
    </row>
    <row r="320" spans="1:3" hidden="1" x14ac:dyDescent="0.25">
      <c r="A320">
        <v>909</v>
      </c>
      <c r="B320" t="s">
        <v>561</v>
      </c>
      <c r="C320" t="e">
        <f>VLOOKUP(B320,'Order Last Event Mapping'!A:A,1,FALSE)</f>
        <v>#N/A</v>
      </c>
    </row>
  </sheetData>
  <autoFilter ref="A1:C320" xr:uid="{00000000-0009-0000-0000-000002000000}">
    <filterColumn colId="2">
      <filters>
        <filter val="Intake: On Hold Per Prescriber - Surgery"/>
        <filter val="On Hold- Pending Surgery"/>
        <filter val="REIntake: On Hold Per Prescriber - Surge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Order Last Event Mapping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Gaye Ares</dc:creator>
  <cp:lastModifiedBy>Becky Butler</cp:lastModifiedBy>
  <dcterms:created xsi:type="dcterms:W3CDTF">2021-01-08T03:06:27Z</dcterms:created>
  <dcterms:modified xsi:type="dcterms:W3CDTF">2025-03-18T15:08:34Z</dcterms:modified>
</cp:coreProperties>
</file>