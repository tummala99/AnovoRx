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ovo\Projects\"/>
    </mc:Choice>
  </mc:AlternateContent>
  <xr:revisionPtr revIDLastSave="0" documentId="13_ncr:1_{516565BD-3D17-442C-82E2-863786802529}" xr6:coauthVersionLast="47" xr6:coauthVersionMax="47" xr10:uidLastSave="{00000000-0000-0000-0000-000000000000}"/>
  <bookViews>
    <workbookView xWindow="-120" yWindow="-120" windowWidth="29040" windowHeight="15720" activeTab="4" xr2:uid="{8E2AD6D2-89BC-48C8-9037-342CC2EE7FE6}"/>
  </bookViews>
  <sheets>
    <sheet name="DB Server Details" sheetId="1" r:id="rId1"/>
    <sheet name="Sheet2" sheetId="17" r:id="rId2"/>
    <sheet name="Sheet1" sheetId="16" r:id="rId3"/>
    <sheet name="Site URLs" sheetId="2" r:id="rId4"/>
    <sheet name="Tasks" sheetId="4" r:id="rId5"/>
    <sheet name="Sheet4" sheetId="7" r:id="rId6"/>
    <sheet name="Sheet5" sheetId="8" r:id="rId7"/>
    <sheet name="Sheet7" sheetId="13" r:id="rId8"/>
    <sheet name="Sheet8" sheetId="14" r:id="rId9"/>
    <sheet name="Sheet9" sheetId="15" r:id="rId10"/>
    <sheet name="Sheet3" sheetId="18" r:id="rId11"/>
    <sheet name="Sheet6" sheetId="19" r:id="rId12"/>
    <sheet name="Increlex_Source List" sheetId="3" state="hidden" r:id="rId13"/>
  </sheets>
  <definedNames>
    <definedName name="_xlnm._FilterDatabase" localSheetId="8" hidden="1">Sheet8!$A$1:$I$73</definedName>
    <definedName name="_xlnm._FilterDatabase" localSheetId="9" hidden="1">Sheet9!$A$1:$I$37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3" i="4" l="1"/>
  <c r="Y44" i="4" s="1"/>
  <c r="Y45" i="4" s="1"/>
  <c r="C3" i="18"/>
  <c r="C2" i="18"/>
  <c r="V48" i="4"/>
  <c r="V43" i="4"/>
  <c r="V37" i="4"/>
  <c r="Y30" i="4"/>
  <c r="J44" i="2"/>
  <c r="K44" i="2"/>
  <c r="J45" i="2"/>
  <c r="K45" i="2"/>
  <c r="J46" i="2"/>
  <c r="K46" i="2"/>
  <c r="J47" i="2"/>
  <c r="K47" i="2"/>
  <c r="T49" i="4"/>
  <c r="Y40" i="4"/>
  <c r="Y36" i="4"/>
  <c r="V30" i="4"/>
  <c r="J12" i="1"/>
  <c r="T45" i="4"/>
  <c r="T36" i="4"/>
  <c r="Z20" i="4"/>
  <c r="Z16" i="4"/>
  <c r="Q39" i="4"/>
  <c r="Z10" i="4"/>
  <c r="V20" i="4"/>
  <c r="S23" i="4"/>
  <c r="V14" i="4"/>
  <c r="M15" i="7"/>
  <c r="S13" i="4"/>
  <c r="Q42" i="1"/>
  <c r="R42" i="1" s="1"/>
  <c r="S7" i="4"/>
  <c r="O20" i="4"/>
  <c r="O13" i="4"/>
  <c r="O8" i="4"/>
  <c r="K16" i="4"/>
  <c r="G32" i="4"/>
  <c r="M31" i="1"/>
  <c r="M32" i="1" s="1"/>
  <c r="K8" i="4"/>
  <c r="G52" i="4"/>
  <c r="Q44" i="4"/>
  <c r="N66" i="4"/>
  <c r="Q31" i="4"/>
  <c r="K41" i="4"/>
  <c r="K53" i="4"/>
  <c r="C18" i="7"/>
  <c r="G39" i="4"/>
  <c r="C31" i="4"/>
  <c r="C21" i="4"/>
  <c r="G11" i="4"/>
  <c r="C9" i="4"/>
</calcChain>
</file>

<file path=xl/sharedStrings.xml><?xml version="1.0" encoding="utf-8"?>
<sst xmlns="http://schemas.openxmlformats.org/spreadsheetml/2006/main" count="1967" uniqueCount="510">
  <si>
    <t>Environment</t>
  </si>
  <si>
    <t>Server Name</t>
  </si>
  <si>
    <t>User Name</t>
  </si>
  <si>
    <t>Password</t>
  </si>
  <si>
    <t>Dev</t>
  </si>
  <si>
    <t>India</t>
  </si>
  <si>
    <t>Nexu$123!@#</t>
  </si>
  <si>
    <t>QA</t>
  </si>
  <si>
    <t>50.17.232.197</t>
  </si>
  <si>
    <t>stummala</t>
  </si>
  <si>
    <t>UAT</t>
  </si>
  <si>
    <t>hubtestdb1.cyvjdz9ti1rg.us-east-1.rds.amazonaws.com</t>
  </si>
  <si>
    <t>Zogenix</t>
  </si>
  <si>
    <t>PRD</t>
  </si>
  <si>
    <t>https://finteplahubuat.anovorx.com/Home/Index</t>
  </si>
  <si>
    <t>Admin20</t>
  </si>
  <si>
    <t>Password@1</t>
  </si>
  <si>
    <t>https://zx1hubqa.anovotest.com/</t>
  </si>
  <si>
    <t>AC1</t>
  </si>
  <si>
    <t>CT1</t>
  </si>
  <si>
    <t>CT2</t>
  </si>
  <si>
    <t>Acadia</t>
  </si>
  <si>
    <t>Catalyst</t>
  </si>
  <si>
    <t>ZX1</t>
  </si>
  <si>
    <t>ZX1DEV</t>
  </si>
  <si>
    <t>AC1DEV</t>
  </si>
  <si>
    <t>CT1DEV</t>
  </si>
  <si>
    <t>CT2DEV</t>
  </si>
  <si>
    <t>ZX1QA</t>
  </si>
  <si>
    <t>AC1QA</t>
  </si>
  <si>
    <t>CT1QA</t>
  </si>
  <si>
    <t>CT2QA</t>
  </si>
  <si>
    <t>AC1UAT</t>
  </si>
  <si>
    <t>CT1UAT</t>
  </si>
  <si>
    <t>CT2UAT</t>
  </si>
  <si>
    <t xml:space="preserve">Admin0   </t>
  </si>
  <si>
    <t>ACE</t>
  </si>
  <si>
    <t>DEV</t>
  </si>
  <si>
    <t>https://aesportaluat.anovotest.com/</t>
  </si>
  <si>
    <t>Glisobel.Gonzalez</t>
  </si>
  <si>
    <t>https://ct1hubqa.anovotest.com/</t>
  </si>
  <si>
    <t>https://catalystqa.anovorx.com</t>
  </si>
  <si>
    <t>admin1</t>
  </si>
  <si>
    <t>AcadiaConnectHUBUAT.anovorx.com </t>
  </si>
  <si>
    <t>AdminA</t>
  </si>
  <si>
    <t>Source Name</t>
  </si>
  <si>
    <t>Source File</t>
  </si>
  <si>
    <t>Dispense</t>
  </si>
  <si>
    <t>Increlex_Dispense.csv</t>
  </si>
  <si>
    <t>NCPDP</t>
  </si>
  <si>
    <t>Increlex_NCPDP.csv</t>
  </si>
  <si>
    <t>Notes</t>
  </si>
  <si>
    <t>Increlex_Notes.csv</t>
  </si>
  <si>
    <t>Orders</t>
  </si>
  <si>
    <t>Increlex_Orders.csv</t>
  </si>
  <si>
    <t>PAAppealNotes</t>
  </si>
  <si>
    <t>Increlex_PA and Appeal Notes Increlex.csv</t>
  </si>
  <si>
    <t>Patients</t>
  </si>
  <si>
    <t>Increlex_Patients.csv</t>
  </si>
  <si>
    <t>Queue</t>
  </si>
  <si>
    <t>Increlex_Queue.csv</t>
  </si>
  <si>
    <t>Active Speciality Prescribers</t>
  </si>
  <si>
    <t>Increlex_Active Speciality Prescribers.csv</t>
  </si>
  <si>
    <t>Not attached to task</t>
  </si>
  <si>
    <t>AuthNoteMapping</t>
  </si>
  <si>
    <t>PA and Appeal Mapping2.xlsx</t>
  </si>
  <si>
    <t>DB Status Type</t>
  </si>
  <si>
    <t>DashboardStatusMapping1.xlsx</t>
  </si>
  <si>
    <t>Optin</t>
  </si>
  <si>
    <t>Increlex_Optin.xlsx</t>
  </si>
  <si>
    <t>Order Last Event Mapping</t>
  </si>
  <si>
    <t>OrderLastEventMappingNew4.xlsx</t>
  </si>
  <si>
    <t>HUB</t>
  </si>
  <si>
    <t>$Passwordlong01</t>
  </si>
  <si>
    <t>10.0.200.5</t>
  </si>
  <si>
    <t>Table Name</t>
  </si>
  <si>
    <t>0024 Patient Data</t>
  </si>
  <si>
    <t>Depends on</t>
  </si>
  <si>
    <t>[0020 Status Detail]</t>
  </si>
  <si>
    <t>[0021 Last Dispense]</t>
  </si>
  <si>
    <t>[0026 Report Payer]</t>
  </si>
  <si>
    <t>[0027 QS Shipment]</t>
  </si>
  <si>
    <t>[0028 QS Offer]</t>
  </si>
  <si>
    <t>[0030 Optin]</t>
  </si>
  <si>
    <t>[0033 PA TAT]</t>
  </si>
  <si>
    <t>[Scheduled Ship Date]</t>
  </si>
  <si>
    <t>[0053 New vs Transfer]</t>
  </si>
  <si>
    <t>[64 Primary PA Appeal Status]</t>
  </si>
  <si>
    <t>[65 Secondary PA Appeal Status]</t>
  </si>
  <si>
    <t>[0036 Patient Pay]</t>
  </si>
  <si>
    <t>[0013 Orders List]</t>
  </si>
  <si>
    <t>[0014 Unique Orders]</t>
  </si>
  <si>
    <t xml:space="preserve">[Order Last Event Mapping] </t>
  </si>
  <si>
    <t>[0010 Status Date]</t>
  </si>
  <si>
    <t>[0016 Closed Notes</t>
  </si>
  <si>
    <t>[0017 Last Closed Note]</t>
  </si>
  <si>
    <t>[0016 Closed Notes]</t>
  </si>
  <si>
    <t>[0025 Patient Payer]</t>
  </si>
  <si>
    <t>[Secondaries Active]</t>
  </si>
  <si>
    <t xml:space="preserve">[0029 Optout] </t>
  </si>
  <si>
    <t>[0031 PA Approved]</t>
  </si>
  <si>
    <t>[0032 QS Ship]</t>
  </si>
  <si>
    <t>[0052 Welcome Notes by Patient]</t>
  </si>
  <si>
    <t>[62 Max Primary PA]</t>
  </si>
  <si>
    <t>[60 PrimaryPAApp]</t>
  </si>
  <si>
    <t>[63 Max Secondary PA]</t>
  </si>
  <si>
    <t>[61 SecondaryPAApp]</t>
  </si>
  <si>
    <t>[0011 Pending Orders]</t>
  </si>
  <si>
    <t>OrderLastEventMapNew4.xlsx</t>
  </si>
  <si>
    <t>[0009 Combined Dates]</t>
  </si>
  <si>
    <t>Increlex_Optin.XLSX</t>
  </si>
  <si>
    <t>[0050 Wecome Call Notes All] --&gt;Notes--&gt;&gt;Increlex_Notes.csv
[0051 Max of Welcome Call] --&gt; [0050 Wecome Call Notes All] --&gt; Notes--&gt;&gt;Increlex_Notes.csv</t>
  </si>
  <si>
    <t>[60 PrimaryPAApp] --&gt; PAAppealNotes --&gt; PA and Appeal Notes Increlex.CSV</t>
  </si>
  <si>
    <t>[61 SecondaryPAApp] --&gt; PAAppealNotes--&gt; PA and Appeal Notes Increlex.CSV</t>
  </si>
  <si>
    <t>Patients --&gt;Increlex_Patients.csv</t>
  </si>
  <si>
    <t>Notes --&gt;Increlex_Notes.csv</t>
  </si>
  <si>
    <t>Orders --&gt;Increlex_Orders.csv</t>
  </si>
  <si>
    <t>Dispense--&gt;Increlex_Dispense.csv</t>
  </si>
  <si>
    <t>PAAppealNotes --&gt; PA and Appeal Notes Increlex.CSV</t>
  </si>
  <si>
    <t>PAAppealNotes--&gt; PA and Appeal Notes Increlex.CSV</t>
  </si>
  <si>
    <t>NCPDP--&gt;Increlex_NCPDP.CSV</t>
  </si>
  <si>
    <t>Fintepla</t>
  </si>
  <si>
    <t>Firdapse</t>
  </si>
  <si>
    <t>Daybue</t>
  </si>
  <si>
    <t>Agamree</t>
  </si>
  <si>
    <t>Report Server</t>
  </si>
  <si>
    <t>18.208.29.166</t>
  </si>
  <si>
    <t>.\stummala</t>
  </si>
  <si>
    <t>Task</t>
  </si>
  <si>
    <t>Date</t>
  </si>
  <si>
    <t>Estimates - Hrs</t>
  </si>
  <si>
    <t>Caretend</t>
  </si>
  <si>
    <t>Krush456$%^</t>
  </si>
  <si>
    <t>hubadmin</t>
  </si>
  <si>
    <t>N3xu$inf0rmatics</t>
  </si>
  <si>
    <t>RDP</t>
  </si>
  <si>
    <t>051225ABcd1234</t>
  </si>
  <si>
    <t>Anovo.aclark</t>
  </si>
  <si>
    <t>CareTend App</t>
  </si>
  <si>
    <t>Anovo.stummala</t>
  </si>
  <si>
    <t>3.5in, 0.95in</t>
  </si>
  <si>
    <t>Directions</t>
  </si>
  <si>
    <t>arg\stummala</t>
  </si>
  <si>
    <t>Increlex</t>
  </si>
  <si>
    <t>Snowflake Credentials:</t>
  </si>
  <si>
    <t>https://otfsbxm-qbc33642.snowflakecomputing.com</t>
  </si>
  <si>
    <t>STUMMALA</t>
  </si>
  <si>
    <t xml:space="preserve">Username: </t>
  </si>
  <si>
    <t>Domain</t>
  </si>
  <si>
    <t>Pwd</t>
  </si>
  <si>
    <t>Srinivas123456</t>
  </si>
  <si>
    <t>Snowflake</t>
  </si>
  <si>
    <t>WELLSKY_WELLSKY_HCS_AWS_CT_ANOVO_RAW</t>
  </si>
  <si>
    <t xml:space="preserve">Database: </t>
  </si>
  <si>
    <t>andbprod04.cx0gu2zlrwfk.us-east-1.rds.amazonaws.com</t>
  </si>
  <si>
    <t>ZX1Reportinguser</t>
  </si>
  <si>
    <t>Report123!@#</t>
  </si>
  <si>
    <t>PRD (ZX1)</t>
  </si>
  <si>
    <t>Reportinguser</t>
  </si>
  <si>
    <t>Open SSL</t>
  </si>
  <si>
    <t>AXC64444</t>
  </si>
  <si>
    <t>US_EAST_1</t>
  </si>
  <si>
    <t>WH</t>
  </si>
  <si>
    <t>SNOWFLAKE_LEARNING_WH</t>
  </si>
  <si>
    <t>Hours</t>
  </si>
  <si>
    <t>Report</t>
  </si>
  <si>
    <t>Summary</t>
  </si>
  <si>
    <t>Referral Processing</t>
  </si>
  <si>
    <t>Re-Auth</t>
  </si>
  <si>
    <t>CoPay</t>
  </si>
  <si>
    <t>Clean Clm by Channel</t>
  </si>
  <si>
    <t>PAs by Payer</t>
  </si>
  <si>
    <t>Claims Denied by Channel</t>
  </si>
  <si>
    <t>Appeals by Channel</t>
  </si>
  <si>
    <t>Denial Reasons by Payer</t>
  </si>
  <si>
    <t>Time for Approval by Payer</t>
  </si>
  <si>
    <t>Cancelled Reasons by Payer</t>
  </si>
  <si>
    <t>Sno:</t>
  </si>
  <si>
    <t>Code Review</t>
  </si>
  <si>
    <t>Deployment</t>
  </si>
  <si>
    <t>Total Hours</t>
  </si>
  <si>
    <t>MRN</t>
  </si>
  <si>
    <t>MaxOfnote_entered_date</t>
  </si>
  <si>
    <t>MaxOfnote_sys_id</t>
  </si>
  <si>
    <t>Snowflake Schema Explorer</t>
  </si>
  <si>
    <t>https://resources.bi.wellsky.cloud/caretend_schema_explorer/index.html</t>
  </si>
  <si>
    <t>User: wellsky</t>
  </si>
  <si>
    <t>Password: ?p(!GwIUJI]^</t>
  </si>
  <si>
    <t>Patient Declined Therapy</t>
  </si>
  <si>
    <t>No Insurance</t>
  </si>
  <si>
    <t>Patient Declined PAP</t>
  </si>
  <si>
    <t>stummala@anovorx.com</t>
  </si>
  <si>
    <t>T(J$R7"hcqa?2/W}|}Wn</t>
  </si>
  <si>
    <t>Open VPN</t>
  </si>
  <si>
    <t>XtFjQGT2K@m8$5w08</t>
  </si>
  <si>
    <t>srinivas.tummala</t>
  </si>
  <si>
    <t>$Passwordlong02</t>
  </si>
  <si>
    <t>#36174</t>
  </si>
  <si>
    <t>#36246</t>
  </si>
  <si>
    <t>#36247</t>
  </si>
  <si>
    <t>#36261</t>
  </si>
  <si>
    <t>https://acadiaconnectsalesuat.anovorx.com</t>
  </si>
  <si>
    <t>ssp</t>
  </si>
  <si>
    <t>#36341</t>
  </si>
  <si>
    <t>PRD (CT1)</t>
  </si>
  <si>
    <t>Task#</t>
  </si>
  <si>
    <t>DevOps</t>
  </si>
  <si>
    <t>Jira</t>
  </si>
  <si>
    <t>Program</t>
  </si>
  <si>
    <t>Remarks</t>
  </si>
  <si>
    <t>CAT-233</t>
  </si>
  <si>
    <t>Firdapse/Agamree</t>
  </si>
  <si>
    <t>Description</t>
  </si>
  <si>
    <t>CAT-233 Datavant Files Data Dictionary - Catalyst Feed</t>
  </si>
  <si>
    <t>Applied Hash Encryption
Temporarily generated feed file in production</t>
  </si>
  <si>
    <t>AC-1075</t>
  </si>
  <si>
    <t>AC-1075: Anovo-Komodo Linking: Datavant Site</t>
  </si>
  <si>
    <t>ZOG-2004</t>
  </si>
  <si>
    <t>ZOG-2004: Fintepla Data Linkage (Komodo) - Tokenization</t>
  </si>
  <si>
    <t>Acadia - Daybue</t>
  </si>
  <si>
    <t>LOE</t>
  </si>
  <si>
    <t>Developed and changes are available in UAT</t>
  </si>
  <si>
    <t xml:space="preserve">Need to create 18 New SPs and </t>
  </si>
  <si>
    <t>PRD (CT2)</t>
  </si>
  <si>
    <t>CT2Reportinguser</t>
  </si>
  <si>
    <t>Hubtopia123!@#</t>
  </si>
  <si>
    <t>#36361</t>
  </si>
  <si>
    <t>#36375</t>
  </si>
  <si>
    <t>AC- Create Patient and Shipment files for  Datavant Site</t>
  </si>
  <si>
    <t>In Progress</t>
  </si>
  <si>
    <t>PRD (AC1)</t>
  </si>
  <si>
    <t>#36422</t>
  </si>
  <si>
    <t>#36050</t>
  </si>
  <si>
    <t>Data Warehouse</t>
  </si>
  <si>
    <t>ARG-SANDBOXV2\CPRTEST2</t>
  </si>
  <si>
    <t>10.0.200.72</t>
  </si>
  <si>
    <t>cpr_user</t>
  </si>
  <si>
    <t>cpruser</t>
  </si>
  <si>
    <t>CPRPlus - Test</t>
  </si>
  <si>
    <t>CPRPlus - UAT</t>
  </si>
  <si>
    <t>10.0.200.71\CPRSQL2</t>
  </si>
  <si>
    <t>#36457</t>
  </si>
  <si>
    <t>Id</t>
  </si>
  <si>
    <t>CreatedDate</t>
  </si>
  <si>
    <t>CreatedBy</t>
  </si>
  <si>
    <t>ModifiedDate</t>
  </si>
  <si>
    <t>ModifiedBy</t>
  </si>
  <si>
    <t>Datavant Tokenization</t>
  </si>
  <si>
    <t>datavantacadia@anovorx.com</t>
  </si>
  <si>
    <t>#36508</t>
  </si>
  <si>
    <t>#36262</t>
  </si>
  <si>
    <t>#36570</t>
  </si>
  <si>
    <t>AC1Reportinguser</t>
  </si>
  <si>
    <t>DatavantCatalyst@anovorx.com</t>
  </si>
  <si>
    <t>#36682</t>
  </si>
  <si>
    <t>#36665</t>
  </si>
  <si>
    <t>BVOutcomeCreatedDate</t>
  </si>
  <si>
    <t>CaseId</t>
  </si>
  <si>
    <t>BVOutcomeType</t>
  </si>
  <si>
    <t>InsuranceId</t>
  </si>
  <si>
    <t>EnrollmentCompletedate</t>
  </si>
  <si>
    <t>BV Outcome Date</t>
  </si>
  <si>
    <t>InsuranceTypeId</t>
  </si>
  <si>
    <t>BusinessDays</t>
  </si>
  <si>
    <t>Category</t>
  </si>
  <si>
    <t>RowNumber</t>
  </si>
  <si>
    <t>PA Required</t>
  </si>
  <si>
    <t>NULL</t>
  </si>
  <si>
    <t>BV TAT</t>
  </si>
  <si>
    <t>Approved</t>
  </si>
  <si>
    <t>#36708</t>
  </si>
  <si>
    <t>#36755</t>
  </si>
  <si>
    <t>#36768</t>
  </si>
  <si>
    <t>#36746</t>
  </si>
  <si>
    <t>#36769</t>
  </si>
  <si>
    <t>#36822</t>
  </si>
  <si>
    <t>anovo_portal</t>
  </si>
  <si>
    <t>For Jobs configuration</t>
  </si>
  <si>
    <t>AnovoPortal2024</t>
  </si>
  <si>
    <t>#36832</t>
  </si>
  <si>
    <t>XGHTHFGT</t>
  </si>
  <si>
    <t>AC1. AC1PBIUser</t>
  </si>
  <si>
    <t>Power BI</t>
  </si>
  <si>
    <t>IN-31</t>
  </si>
  <si>
    <t>ProductId</t>
  </si>
  <si>
    <t>Sale_proce</t>
  </si>
  <si>
    <t>Region</t>
  </si>
  <si>
    <t>OrderID</t>
  </si>
  <si>
    <t>South</t>
  </si>
  <si>
    <t>North</t>
  </si>
  <si>
    <t>East</t>
  </si>
  <si>
    <t>West</t>
  </si>
  <si>
    <t>OrderDate</t>
  </si>
  <si>
    <t>find top 2 highest selling products in each region</t>
  </si>
  <si>
    <t>10.0.200.6</t>
  </si>
  <si>
    <t>AnovoPortal2022</t>
  </si>
  <si>
    <t>#36760</t>
  </si>
  <si>
    <t>QuestionId</t>
  </si>
  <si>
    <t>QuestionVariable</t>
  </si>
  <si>
    <t>ResponseValue</t>
  </si>
  <si>
    <t>QFormDataId</t>
  </si>
  <si>
    <t>PatientId</t>
  </si>
  <si>
    <t>Dose1DilutionAmount</t>
  </si>
  <si>
    <t>25 mL</t>
  </si>
  <si>
    <t>15 mL</t>
  </si>
  <si>
    <t>Dose1AdministrationAmount</t>
  </si>
  <si>
    <t>17.5 mL</t>
  </si>
  <si>
    <t>60 mL</t>
  </si>
  <si>
    <t>Dose2DilutionAmount</t>
  </si>
  <si>
    <t>Dose1IndividualDoseAmount</t>
  </si>
  <si>
    <t>8000 mg</t>
  </si>
  <si>
    <t>4500 mg</t>
  </si>
  <si>
    <t>10,000 mg</t>
  </si>
  <si>
    <t>5000 mg</t>
  </si>
  <si>
    <t>6000 mg</t>
  </si>
  <si>
    <t>Dose2IndividualDoseAmount</t>
  </si>
  <si>
    <t>QFormID</t>
  </si>
  <si>
    <t>AssessmentName</t>
  </si>
  <si>
    <t>QuestionText</t>
  </si>
  <si>
    <t>QuestionName</t>
  </si>
  <si>
    <t>HubPatientId</t>
  </si>
  <si>
    <t>AssessmentID</t>
  </si>
  <si>
    <t>Answer</t>
  </si>
  <si>
    <t>Dilution Assessment</t>
  </si>
  <si>
    <t>Dose 1 Dilution Amount (mL) Per Dose</t>
  </si>
  <si>
    <t>Dose 1 No of Doses per Day</t>
  </si>
  <si>
    <t>Dose1perDay</t>
  </si>
  <si>
    <t>Dose 1 Administration Amount (mL) per Dose</t>
  </si>
  <si>
    <t>Dose 1 Individual Dose Amount (mg)</t>
  </si>
  <si>
    <t>Dose 2 Dilution Amount (mL) Per Dose</t>
  </si>
  <si>
    <t>Dose 2 No of Doses per Day</t>
  </si>
  <si>
    <t>Dose2perDay</t>
  </si>
  <si>
    <t>Dose 2 Administration Amount (mL) per Dose</t>
  </si>
  <si>
    <t>Dose2AdministrationAmount</t>
  </si>
  <si>
    <t>Dose 2 Individual Dose Amount (mg)</t>
  </si>
  <si>
    <t>Dose 3 Dilution Amount (mL) Per Dose</t>
  </si>
  <si>
    <t>Dose3DilutionAmount</t>
  </si>
  <si>
    <t>Dose 3 No of Doses per Day</t>
  </si>
  <si>
    <t>Dose3perDay</t>
  </si>
  <si>
    <t>Dose 3 Administration Amount (mL) per Dose</t>
  </si>
  <si>
    <t>Dose3AdministrationAmount</t>
  </si>
  <si>
    <t>Dose 3 Individual Dose Amount (mg)</t>
  </si>
  <si>
    <t>Dose3IndividualDoseAmount</t>
  </si>
  <si>
    <t>Dose 4 Dilution Amount (mL) Per Dose</t>
  </si>
  <si>
    <t>Dose4DilutionAmount</t>
  </si>
  <si>
    <t>Dose 4 No of Doses per Day</t>
  </si>
  <si>
    <t>Dose4perDay</t>
  </si>
  <si>
    <t>Dose 4 Administration Amount (mL) per Dose</t>
  </si>
  <si>
    <t>Dose4AdministrationAmount</t>
  </si>
  <si>
    <t>Dose 4 Individual Dose Amount (mg)</t>
  </si>
  <si>
    <t>Dose4IndividualDoseAmount</t>
  </si>
  <si>
    <t>DilutionDate</t>
  </si>
  <si>
    <t>Type</t>
  </si>
  <si>
    <t>Titration</t>
  </si>
  <si>
    <t>Maintenance</t>
  </si>
  <si>
    <t>anovodev1.cr8yco44mg0j.ap-south-2.rds.amazonaws.com</t>
  </si>
  <si>
    <t>LastRundate</t>
  </si>
  <si>
    <t>CutOfDate</t>
  </si>
  <si>
    <t>Stage Date</t>
  </si>
  <si>
    <t>DWHLoadDate</t>
  </si>
  <si>
    <t>CutOff Daye</t>
  </si>
  <si>
    <t>Run Date</t>
  </si>
  <si>
    <t>From Date</t>
  </si>
  <si>
    <t>#36343</t>
  </si>
  <si>
    <t>QFormId</t>
  </si>
  <si>
    <t>QFormResult</t>
  </si>
  <si>
    <t>Score</t>
  </si>
  <si>
    <t>FacilityId</t>
  </si>
  <si>
    <t>ContactId</t>
  </si>
  <si>
    <t>#36975</t>
  </si>
  <si>
    <t>03/26/2026 23:99:48 AM</t>
  </si>
  <si>
    <t>03/27/2026  18:00:48 AM</t>
  </si>
  <si>
    <t>03/27/2026 23:99:48 AM</t>
  </si>
  <si>
    <t>#37005</t>
  </si>
  <si>
    <t>Daybue STiX Dilution - Maintenance</t>
  </si>
  <si>
    <t>DWH Assessment Title</t>
  </si>
  <si>
    <t>HUB Assessment Type</t>
  </si>
  <si>
    <t>Daybue STiX Dilution - Titration</t>
  </si>
  <si>
    <t>Daybue STiX Dilution DEVIATION  - Maintenance</t>
  </si>
  <si>
    <t>Daybue STiX Dilution DEVIATION - Titration</t>
  </si>
  <si>
    <t>Maintenance Deviation or Titration Deviation</t>
  </si>
  <si>
    <t>Unique Transaction ID</t>
  </si>
  <si>
    <t>Encrypted ID</t>
  </si>
  <si>
    <t>Ship Date</t>
  </si>
  <si>
    <t>Rx Date</t>
  </si>
  <si>
    <t>Quantity Dispensed</t>
  </si>
  <si>
    <t>Days Supply</t>
  </si>
  <si>
    <t>Refill Number</t>
  </si>
  <si>
    <t>Patient Initials</t>
  </si>
  <si>
    <t>Year Of Birth</t>
  </si>
  <si>
    <t>Patient First Name</t>
  </si>
  <si>
    <t>Patient Last Name</t>
  </si>
  <si>
    <t>Drug Name</t>
  </si>
  <si>
    <t>Refills Allowed</t>
  </si>
  <si>
    <t>Refills Remaining</t>
  </si>
  <si>
    <t>Order Payer Type</t>
  </si>
  <si>
    <t>Payer Name</t>
  </si>
  <si>
    <t>BIN</t>
  </si>
  <si>
    <t>PCN</t>
  </si>
  <si>
    <t>Secondary Payer Type</t>
  </si>
  <si>
    <t>Secondary Payer Name</t>
  </si>
  <si>
    <t>Secondary BIN</t>
  </si>
  <si>
    <t>Secondary PCN</t>
  </si>
  <si>
    <t>Tertiary Payer Type</t>
  </si>
  <si>
    <t>Tertiary Payer Name</t>
  </si>
  <si>
    <t>Tertiary BIN</t>
  </si>
  <si>
    <t>Tertiary PCN</t>
  </si>
  <si>
    <t>NDC</t>
  </si>
  <si>
    <t>HCP NPI</t>
  </si>
  <si>
    <t>HCP First Name</t>
  </si>
  <si>
    <t>HCP Last Name</t>
  </si>
  <si>
    <t>HCP Practice</t>
  </si>
  <si>
    <t>HCP DEA</t>
  </si>
  <si>
    <t>HCP Address</t>
  </si>
  <si>
    <t>HCP City</t>
  </si>
  <si>
    <t>HCP State</t>
  </si>
  <si>
    <t>HCP Zip</t>
  </si>
  <si>
    <t>Office Contact</t>
  </si>
  <si>
    <t>Office Contact Phone</t>
  </si>
  <si>
    <t>Office Contact Fax</t>
  </si>
  <si>
    <t>Office Contact Email</t>
  </si>
  <si>
    <t>ICD10</t>
  </si>
  <si>
    <t>Patient First Ship Date</t>
  </si>
  <si>
    <t>Patient Last Ship Date</t>
  </si>
  <si>
    <t>Quantity UOM</t>
  </si>
  <si>
    <t>RX Number</t>
  </si>
  <si>
    <t>Rx Type</t>
  </si>
  <si>
    <t>RX Directions</t>
  </si>
  <si>
    <t>Shipping Address 1</t>
  </si>
  <si>
    <t>Shipping Address 2</t>
  </si>
  <si>
    <t>Shipping City</t>
  </si>
  <si>
    <t>Shipping State</t>
  </si>
  <si>
    <t>Shipping Zip</t>
  </si>
  <si>
    <t>Product Lot Number</t>
  </si>
  <si>
    <t>Patient PHI HIPAA Consent Date</t>
  </si>
  <si>
    <t>Ship To Location Type</t>
  </si>
  <si>
    <t>Next Fill Date</t>
  </si>
  <si>
    <t>Total Fill Number</t>
  </si>
  <si>
    <t>Final Patient Out-of-Pocket Cost</t>
  </si>
  <si>
    <t>Co-Pay Card/Voucher Used</t>
  </si>
  <si>
    <t>Primary Co-Pay Amount</t>
  </si>
  <si>
    <t>Secondary Co-Pay Amount</t>
  </si>
  <si>
    <t>Location DEA</t>
  </si>
  <si>
    <t>Location NPI Number</t>
  </si>
  <si>
    <t>Restatement Flag</t>
  </si>
  <si>
    <t>Flex Field 0</t>
  </si>
  <si>
    <t>Flex Field 1</t>
  </si>
  <si>
    <t>Flex Field 2</t>
  </si>
  <si>
    <t>Flex Field 3</t>
  </si>
  <si>
    <t>Flex Field 4</t>
  </si>
  <si>
    <t>Flex Field 5</t>
  </si>
  <si>
    <t>Flex Field 6</t>
  </si>
  <si>
    <t>AP</t>
  </si>
  <si>
    <t>Yuviwel 2.8 mg/0.8 mL vial STARTER</t>
  </si>
  <si>
    <t>COMPASSIONATE</t>
  </si>
  <si>
    <t>YUVIWEL QUICK START</t>
  </si>
  <si>
    <t>COMMERCIAL</t>
  </si>
  <si>
    <t>PRIME THERAPEUTICS 6972000</t>
  </si>
  <si>
    <t>73362-0202-01</t>
  </si>
  <si>
    <t>Thomas</t>
  </si>
  <si>
    <t>Carpenter</t>
  </si>
  <si>
    <t xml:space="preserve">1 Long Wharf Drive, Suite 503 </t>
  </si>
  <si>
    <t>New Haven</t>
  </si>
  <si>
    <t>CT</t>
  </si>
  <si>
    <t>Thomas Carpenter</t>
  </si>
  <si>
    <t>203-785-5809</t>
  </si>
  <si>
    <t>203-764-9149</t>
  </si>
  <si>
    <t>Q77.4</t>
  </si>
  <si>
    <t>Each</t>
  </si>
  <si>
    <t>NEW</t>
  </si>
  <si>
    <t>Inject 0.45 mL under the skin every week.Allow to reach room temperature (30 minutes)prior to recons</t>
  </si>
  <si>
    <t>FA4404721</t>
  </si>
  <si>
    <t>N</t>
  </si>
  <si>
    <t>HN</t>
  </si>
  <si>
    <t>Yuviwel 1.3 mg/0.8 mL vial</t>
  </si>
  <si>
    <t>MEDICAID</t>
  </si>
  <si>
    <t>MEDICAID CA- MEDI-CALRX 6334225</t>
  </si>
  <si>
    <t>73362-0201-01</t>
  </si>
  <si>
    <t>Kristine C.</t>
  </si>
  <si>
    <t>Herman</t>
  </si>
  <si>
    <t>Clinical Genetics</t>
  </si>
  <si>
    <t xml:space="preserve">2825 50th St. </t>
  </si>
  <si>
    <t>Sacramento</t>
  </si>
  <si>
    <t>CA</t>
  </si>
  <si>
    <t>Kristin C. Herman</t>
  </si>
  <si>
    <t>916-730-7720</t>
  </si>
  <si>
    <t>916-703-0203</t>
  </si>
  <si>
    <t>Inject 0.55 mL under the skin every week.Allow to reach room temperature (30 minutes)prior to recons</t>
  </si>
  <si>
    <t>DispenseDate,Drug,Type,PatientId,SiteNo,RxNo,RefilNum,RefillsAllowed,RefilsRemining,DispenseQty,ItemDescription,ndc,DispenseType,DaysSupply,DispenseTherapyDays,LotNum,Next Delivery,LotExpDate,ThruDate,DispenseLotQty</t>
  </si>
  <si>
    <t>DispenseDate</t>
  </si>
  <si>
    <t>Drug</t>
  </si>
  <si>
    <t>SiteNo</t>
  </si>
  <si>
    <t>RxNo</t>
  </si>
  <si>
    <t>RefilNum</t>
  </si>
  <si>
    <t>RefillsAllowed</t>
  </si>
  <si>
    <t>RefilsRemining</t>
  </si>
  <si>
    <t>DispenseQty</t>
  </si>
  <si>
    <t>ItemDescription</t>
  </si>
  <si>
    <t>ndc</t>
  </si>
  <si>
    <t>DispenseType</t>
  </si>
  <si>
    <t>DaysSupply</t>
  </si>
  <si>
    <t>DispenseTherapyDays</t>
  </si>
  <si>
    <t>LotNum</t>
  </si>
  <si>
    <t>Next Delivery</t>
  </si>
  <si>
    <t>LotExpDate</t>
  </si>
  <si>
    <t>ThruDate</t>
  </si>
  <si>
    <t>DispenseLotQty</t>
  </si>
  <si>
    <t>Current Column Orders</t>
  </si>
  <si>
    <t>Expected Column Order</t>
  </si>
  <si>
    <t>#37079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</si>
</sst>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Segoe UI"/>
      <family val="2"/>
    </font>
    <font>
      <sz val="8"/>
      <name val="Aptos Narrow"/>
      <family val="2"/>
      <scheme val="minor"/>
    </font>
    <font>
      <b/>
      <sz val="9"/>
      <color rgb="FF000000"/>
      <name val="Segoe UI"/>
      <family val="2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3" fillId="2" borderId="0" xfId="0" applyFont="1" applyFill="1"/>
    <xf numFmtId="0" fontId="0" fillId="2" borderId="0" xfId="0" applyFill="1" applyAlignment="1">
      <alignment wrapText="1"/>
    </xf>
    <xf numFmtId="0" fontId="4" fillId="0" borderId="0" xfId="0" applyFont="1"/>
    <xf numFmtId="14" fontId="0" fillId="0" borderId="0" xfId="0" applyNumberFormat="1"/>
    <xf numFmtId="0" fontId="6" fillId="0" borderId="0" xfId="0" applyFont="1"/>
    <xf numFmtId="22" fontId="0" fillId="0" borderId="0" xfId="0" applyNumberFormat="1"/>
    <xf numFmtId="47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8" borderId="0" xfId="0" applyFill="1"/>
    <xf numFmtId="0" fontId="7" fillId="0" borderId="0" xfId="0" applyFont="1"/>
    <xf numFmtId="0" fontId="0" fillId="9" borderId="0" xfId="0" applyFill="1"/>
    <xf numFmtId="22" fontId="0" fillId="9" borderId="0" xfId="0" applyNumberFormat="1" applyFill="1"/>
    <xf numFmtId="22" fontId="0" fillId="7" borderId="0" xfId="0" applyNumberFormat="1" applyFill="1"/>
    <xf numFmtId="0" fontId="0" fillId="10" borderId="0" xfId="0" applyFill="1"/>
    <xf numFmtId="22" fontId="0" fillId="10" borderId="0" xfId="0" applyNumberFormat="1" applyFill="1"/>
    <xf numFmtId="0" fontId="0" fillId="11" borderId="0" xfId="0" applyFill="1"/>
    <xf numFmtId="22" fontId="0" fillId="11" borderId="0" xfId="0" applyNumberFormat="1" applyFill="1"/>
    <xf numFmtId="0" fontId="0" fillId="12" borderId="0" xfId="0" applyFill="1"/>
    <xf numFmtId="22" fontId="0" fillId="12" borderId="0" xfId="0" applyNumberFormat="1" applyFill="1"/>
    <xf numFmtId="0" fontId="0" fillId="0" borderId="0" xfId="0" applyAlignment="1">
      <alignment horizontal="center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port123!@#" TargetMode="External"/><Relationship Id="rId13" Type="http://schemas.openxmlformats.org/officeDocument/2006/relationships/hyperlink" Target="mailto:datavantacadia@anovorx.com" TargetMode="External"/><Relationship Id="rId3" Type="http://schemas.openxmlformats.org/officeDocument/2006/relationships/hyperlink" Target="mailto:Nexu$123!@#" TargetMode="External"/><Relationship Id="rId7" Type="http://schemas.openxmlformats.org/officeDocument/2006/relationships/hyperlink" Target="mailto:Report123!@#" TargetMode="External"/><Relationship Id="rId12" Type="http://schemas.openxmlformats.org/officeDocument/2006/relationships/hyperlink" Target="mailto:Hubtopia123!@#" TargetMode="External"/><Relationship Id="rId17" Type="http://schemas.openxmlformats.org/officeDocument/2006/relationships/hyperlink" Target="mailto:Nexu$123!@#" TargetMode="External"/><Relationship Id="rId2" Type="http://schemas.openxmlformats.org/officeDocument/2006/relationships/hyperlink" Target="mailto:Nexu$123!@#" TargetMode="External"/><Relationship Id="rId16" Type="http://schemas.openxmlformats.org/officeDocument/2006/relationships/hyperlink" Target="mailto:DatavantCatalyst@anovorx.com" TargetMode="External"/><Relationship Id="rId1" Type="http://schemas.openxmlformats.org/officeDocument/2006/relationships/hyperlink" Target="mailto:Nexu$123!@#" TargetMode="External"/><Relationship Id="rId6" Type="http://schemas.openxmlformats.org/officeDocument/2006/relationships/hyperlink" Target="https://otfsbxm-qbc33642.snowflakecomputing.com/" TargetMode="External"/><Relationship Id="rId11" Type="http://schemas.openxmlformats.org/officeDocument/2006/relationships/hyperlink" Target="mailto:XtFjQGT2K@m8$5w08" TargetMode="External"/><Relationship Id="rId5" Type="http://schemas.openxmlformats.org/officeDocument/2006/relationships/hyperlink" Target="mailto:Nexu$123!@#" TargetMode="External"/><Relationship Id="rId15" Type="http://schemas.openxmlformats.org/officeDocument/2006/relationships/hyperlink" Target="mailto:DatavantCatalyst@anovorx.com" TargetMode="External"/><Relationship Id="rId10" Type="http://schemas.openxmlformats.org/officeDocument/2006/relationships/hyperlink" Target="mailto:stummala@anovorx.com" TargetMode="External"/><Relationship Id="rId4" Type="http://schemas.openxmlformats.org/officeDocument/2006/relationships/hyperlink" Target="mailto:Nexu$123!@#" TargetMode="External"/><Relationship Id="rId9" Type="http://schemas.openxmlformats.org/officeDocument/2006/relationships/hyperlink" Target="https://resources.bi.wellsky.cloud/caretend_schema_explorer/index.html" TargetMode="External"/><Relationship Id="rId14" Type="http://schemas.openxmlformats.org/officeDocument/2006/relationships/hyperlink" Target="mailto:Hubtopia123!@#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ystqa.anovorx.com/" TargetMode="External"/><Relationship Id="rId13" Type="http://schemas.openxmlformats.org/officeDocument/2006/relationships/hyperlink" Target="mailto:Password@1" TargetMode="External"/><Relationship Id="rId3" Type="http://schemas.openxmlformats.org/officeDocument/2006/relationships/hyperlink" Target="https://zx1hubqa.anovotest.com/" TargetMode="External"/><Relationship Id="rId7" Type="http://schemas.openxmlformats.org/officeDocument/2006/relationships/hyperlink" Target="https://ct1hubqa.anovotest.com/" TargetMode="External"/><Relationship Id="rId12" Type="http://schemas.openxmlformats.org/officeDocument/2006/relationships/hyperlink" Target="mailto:Password@1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https://finteplahubuat.anovorx.com/Home/Index" TargetMode="External"/><Relationship Id="rId6" Type="http://schemas.openxmlformats.org/officeDocument/2006/relationships/hyperlink" Target="mailto:Password@1" TargetMode="External"/><Relationship Id="rId11" Type="http://schemas.openxmlformats.org/officeDocument/2006/relationships/hyperlink" Target="https://acadiaconnectsalesuat.anovorx.com/" TargetMode="External"/><Relationship Id="rId5" Type="http://schemas.openxmlformats.org/officeDocument/2006/relationships/hyperlink" Target="https://aesportaluat.anovotest.com/" TargetMode="External"/><Relationship Id="rId10" Type="http://schemas.openxmlformats.org/officeDocument/2006/relationships/hyperlink" Target="mailto:Password@1" TargetMode="External"/><Relationship Id="rId4" Type="http://schemas.openxmlformats.org/officeDocument/2006/relationships/hyperlink" Target="mailto:Password@1" TargetMode="External"/><Relationship Id="rId9" Type="http://schemas.openxmlformats.org/officeDocument/2006/relationships/hyperlink" Target="mailto:Password@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ED46-B43F-4604-9163-0347DA392300}">
  <dimension ref="A1:R53"/>
  <sheetViews>
    <sheetView zoomScaleNormal="100" workbookViewId="0">
      <selection activeCell="H25" sqref="H25"/>
    </sheetView>
  </sheetViews>
  <sheetFormatPr defaultRowHeight="15" x14ac:dyDescent="0.25"/>
  <cols>
    <col min="1" max="1" width="15.7109375" bestFit="1" customWidth="1"/>
    <col min="2" max="2" width="48.85546875" bestFit="1" customWidth="1"/>
    <col min="3" max="3" width="28.5703125" bestFit="1" customWidth="1"/>
    <col min="4" max="4" width="16.7109375" bestFit="1" customWidth="1"/>
    <col min="5" max="5" width="18.140625" customWidth="1"/>
    <col min="6" max="6" width="20.85546875" bestFit="1" customWidth="1"/>
    <col min="7" max="7" width="17.42578125" bestFit="1" customWidth="1"/>
  </cols>
  <sheetData>
    <row r="1" spans="1:10" x14ac:dyDescent="0.25">
      <c r="A1" t="s">
        <v>72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</row>
    <row r="3" spans="1:10" x14ac:dyDescent="0.25">
      <c r="A3" t="s">
        <v>4</v>
      </c>
      <c r="B3" t="s">
        <v>355</v>
      </c>
      <c r="C3" t="s">
        <v>5</v>
      </c>
      <c r="D3" s="1" t="s">
        <v>6</v>
      </c>
      <c r="F3" t="s">
        <v>355</v>
      </c>
    </row>
    <row r="4" spans="1:10" x14ac:dyDescent="0.25">
      <c r="A4" t="s">
        <v>7</v>
      </c>
      <c r="B4" t="s">
        <v>8</v>
      </c>
      <c r="C4" t="s">
        <v>9</v>
      </c>
      <c r="D4" s="1" t="s">
        <v>6</v>
      </c>
    </row>
    <row r="5" spans="1:10" x14ac:dyDescent="0.25">
      <c r="A5" t="s">
        <v>10</v>
      </c>
      <c r="B5" t="s">
        <v>11</v>
      </c>
      <c r="C5" t="s">
        <v>9</v>
      </c>
      <c r="D5" s="1" t="s">
        <v>6</v>
      </c>
      <c r="E5" t="s">
        <v>133</v>
      </c>
      <c r="F5" t="s">
        <v>132</v>
      </c>
    </row>
    <row r="6" spans="1:10" x14ac:dyDescent="0.25">
      <c r="A6" t="s">
        <v>157</v>
      </c>
      <c r="B6" t="s">
        <v>154</v>
      </c>
      <c r="C6" t="s">
        <v>155</v>
      </c>
      <c r="D6" s="1" t="s">
        <v>156</v>
      </c>
    </row>
    <row r="7" spans="1:10" x14ac:dyDescent="0.25">
      <c r="A7" t="s">
        <v>204</v>
      </c>
      <c r="B7" t="s">
        <v>154</v>
      </c>
      <c r="C7" t="s">
        <v>158</v>
      </c>
      <c r="D7" s="1" t="s">
        <v>156</v>
      </c>
      <c r="J7" s="25" t="s">
        <v>154</v>
      </c>
    </row>
    <row r="8" spans="1:10" x14ac:dyDescent="0.25">
      <c r="A8" t="s">
        <v>223</v>
      </c>
      <c r="B8" t="s">
        <v>154</v>
      </c>
      <c r="C8" t="s">
        <v>224</v>
      </c>
      <c r="D8" s="1" t="s">
        <v>225</v>
      </c>
      <c r="J8" t="s">
        <v>154</v>
      </c>
    </row>
    <row r="9" spans="1:10" x14ac:dyDescent="0.25">
      <c r="A9" t="s">
        <v>230</v>
      </c>
      <c r="B9" t="s">
        <v>154</v>
      </c>
      <c r="C9" t="s">
        <v>252</v>
      </c>
      <c r="D9" s="1" t="s">
        <v>225</v>
      </c>
    </row>
    <row r="10" spans="1:10" x14ac:dyDescent="0.25">
      <c r="A10" t="s">
        <v>13</v>
      </c>
      <c r="B10" t="s">
        <v>154</v>
      </c>
      <c r="C10" s="1" t="s">
        <v>191</v>
      </c>
      <c r="D10" t="s">
        <v>192</v>
      </c>
    </row>
    <row r="11" spans="1:10" x14ac:dyDescent="0.25">
      <c r="A11" t="s">
        <v>282</v>
      </c>
      <c r="B11" t="s">
        <v>154</v>
      </c>
      <c r="C11" t="s">
        <v>281</v>
      </c>
      <c r="D11" t="s">
        <v>280</v>
      </c>
    </row>
    <row r="12" spans="1:10" x14ac:dyDescent="0.25">
      <c r="C12" s="1"/>
      <c r="J12" t="b">
        <f>J7=J8</f>
        <v>1</v>
      </c>
    </row>
    <row r="13" spans="1:10" x14ac:dyDescent="0.25">
      <c r="A13" t="s">
        <v>193</v>
      </c>
      <c r="C13" s="1" t="s">
        <v>195</v>
      </c>
      <c r="D13" s="1" t="s">
        <v>194</v>
      </c>
    </row>
    <row r="14" spans="1:10" x14ac:dyDescent="0.25">
      <c r="C14" s="1"/>
    </row>
    <row r="15" spans="1:10" x14ac:dyDescent="0.25">
      <c r="A15" t="s">
        <v>238</v>
      </c>
      <c r="B15" t="s">
        <v>234</v>
      </c>
      <c r="C15" t="s">
        <v>236</v>
      </c>
      <c r="D15" t="s">
        <v>237</v>
      </c>
      <c r="E15" t="s">
        <v>235</v>
      </c>
    </row>
    <row r="16" spans="1:10" x14ac:dyDescent="0.25">
      <c r="A16" t="s">
        <v>239</v>
      </c>
      <c r="B16" t="s">
        <v>240</v>
      </c>
      <c r="C16" t="s">
        <v>236</v>
      </c>
      <c r="D16" t="s">
        <v>237</v>
      </c>
    </row>
    <row r="17" spans="1:13" x14ac:dyDescent="0.25">
      <c r="F17" t="s">
        <v>277</v>
      </c>
    </row>
    <row r="18" spans="1:13" x14ac:dyDescent="0.25">
      <c r="A18" t="s">
        <v>233</v>
      </c>
      <c r="B18" t="s">
        <v>74</v>
      </c>
      <c r="C18" t="s">
        <v>9</v>
      </c>
      <c r="D18" s="1" t="s">
        <v>6</v>
      </c>
      <c r="E18" t="s">
        <v>73</v>
      </c>
      <c r="F18" t="s">
        <v>276</v>
      </c>
      <c r="G18" t="s">
        <v>278</v>
      </c>
    </row>
    <row r="19" spans="1:13" x14ac:dyDescent="0.25">
      <c r="A19" t="s">
        <v>13</v>
      </c>
      <c r="B19" t="s">
        <v>294</v>
      </c>
      <c r="C19" t="s">
        <v>276</v>
      </c>
      <c r="D19" t="s">
        <v>295</v>
      </c>
    </row>
    <row r="21" spans="1:13" x14ac:dyDescent="0.25">
      <c r="A21" t="s">
        <v>125</v>
      </c>
      <c r="B21" t="s">
        <v>126</v>
      </c>
      <c r="C21" t="s">
        <v>127</v>
      </c>
      <c r="D21" s="1" t="s">
        <v>6</v>
      </c>
      <c r="M21">
        <v>12</v>
      </c>
    </row>
    <row r="22" spans="1:13" x14ac:dyDescent="0.25">
      <c r="A22" t="s">
        <v>247</v>
      </c>
      <c r="C22" s="1" t="s">
        <v>248</v>
      </c>
      <c r="D22" s="1"/>
    </row>
    <row r="23" spans="1:13" x14ac:dyDescent="0.25">
      <c r="C23" s="1" t="s">
        <v>253</v>
      </c>
      <c r="D23" s="1" t="s">
        <v>253</v>
      </c>
    </row>
    <row r="24" spans="1:13" x14ac:dyDescent="0.25">
      <c r="M24">
        <v>16</v>
      </c>
    </row>
    <row r="25" spans="1:13" x14ac:dyDescent="0.25">
      <c r="A25" t="s">
        <v>23</v>
      </c>
      <c r="B25" t="s">
        <v>12</v>
      </c>
      <c r="C25" t="s">
        <v>24</v>
      </c>
      <c r="D25" t="s">
        <v>28</v>
      </c>
      <c r="E25" t="s">
        <v>28</v>
      </c>
      <c r="G25" t="s">
        <v>121</v>
      </c>
      <c r="M25">
        <v>12</v>
      </c>
    </row>
    <row r="26" spans="1:13" x14ac:dyDescent="0.25">
      <c r="A26" t="s">
        <v>18</v>
      </c>
      <c r="B26" t="s">
        <v>21</v>
      </c>
      <c r="C26" t="s">
        <v>25</v>
      </c>
      <c r="D26" t="s">
        <v>29</v>
      </c>
      <c r="E26" t="s">
        <v>32</v>
      </c>
      <c r="G26" t="s">
        <v>123</v>
      </c>
      <c r="M26">
        <v>6</v>
      </c>
    </row>
    <row r="27" spans="1:13" x14ac:dyDescent="0.25">
      <c r="A27" t="s">
        <v>19</v>
      </c>
      <c r="B27" t="s">
        <v>22</v>
      </c>
      <c r="C27" t="s">
        <v>26</v>
      </c>
      <c r="D27" t="s">
        <v>30</v>
      </c>
      <c r="E27" t="s">
        <v>33</v>
      </c>
      <c r="G27" t="s">
        <v>122</v>
      </c>
      <c r="M27">
        <v>16</v>
      </c>
    </row>
    <row r="28" spans="1:13" x14ac:dyDescent="0.25">
      <c r="A28" t="s">
        <v>20</v>
      </c>
      <c r="B28" t="s">
        <v>22</v>
      </c>
      <c r="C28" t="s">
        <v>27</v>
      </c>
      <c r="D28" t="s">
        <v>31</v>
      </c>
      <c r="E28" t="s">
        <v>34</v>
      </c>
      <c r="G28" t="s">
        <v>124</v>
      </c>
      <c r="M28">
        <v>6</v>
      </c>
    </row>
    <row r="29" spans="1:13" x14ac:dyDescent="0.25">
      <c r="M29">
        <v>6</v>
      </c>
    </row>
    <row r="30" spans="1:13" x14ac:dyDescent="0.25">
      <c r="A30" t="s">
        <v>135</v>
      </c>
      <c r="B30" t="s">
        <v>74</v>
      </c>
      <c r="D30" t="s">
        <v>134</v>
      </c>
      <c r="M30">
        <v>16</v>
      </c>
    </row>
    <row r="31" spans="1:13" x14ac:dyDescent="0.25">
      <c r="C31" t="s">
        <v>142</v>
      </c>
      <c r="D31" t="s">
        <v>136</v>
      </c>
      <c r="G31" t="s">
        <v>211</v>
      </c>
      <c r="M31">
        <f>SUM(M21:M30)</f>
        <v>90</v>
      </c>
    </row>
    <row r="32" spans="1:13" x14ac:dyDescent="0.25">
      <c r="M32">
        <f>(M31/6)</f>
        <v>15</v>
      </c>
    </row>
    <row r="33" spans="1:18" x14ac:dyDescent="0.25">
      <c r="A33" t="s">
        <v>138</v>
      </c>
      <c r="C33" t="s">
        <v>137</v>
      </c>
      <c r="D33" t="s">
        <v>73</v>
      </c>
    </row>
    <row r="34" spans="1:18" x14ac:dyDescent="0.25">
      <c r="C34" t="s">
        <v>139</v>
      </c>
      <c r="D34" t="s">
        <v>196</v>
      </c>
    </row>
    <row r="36" spans="1:18" x14ac:dyDescent="0.25">
      <c r="G36">
        <v>3800</v>
      </c>
    </row>
    <row r="37" spans="1:18" x14ac:dyDescent="0.25">
      <c r="B37" t="s">
        <v>140</v>
      </c>
      <c r="C37" t="s">
        <v>141</v>
      </c>
      <c r="G37">
        <v>2100</v>
      </c>
    </row>
    <row r="39" spans="1:18" x14ac:dyDescent="0.25">
      <c r="B39" t="s">
        <v>144</v>
      </c>
    </row>
    <row r="41" spans="1:18" x14ac:dyDescent="0.25">
      <c r="B41" t="s">
        <v>151</v>
      </c>
    </row>
    <row r="42" spans="1:18" x14ac:dyDescent="0.25">
      <c r="A42" t="s">
        <v>147</v>
      </c>
      <c r="B42" t="s">
        <v>146</v>
      </c>
      <c r="O42">
        <v>18</v>
      </c>
      <c r="P42">
        <v>5</v>
      </c>
      <c r="Q42">
        <f>(O42*P42)</f>
        <v>90</v>
      </c>
      <c r="R42">
        <f>(Q42+10)/6</f>
        <v>16.666666666666668</v>
      </c>
    </row>
    <row r="43" spans="1:18" x14ac:dyDescent="0.25">
      <c r="A43" t="s">
        <v>148</v>
      </c>
      <c r="B43" s="1" t="s">
        <v>145</v>
      </c>
      <c r="C43" t="s">
        <v>160</v>
      </c>
      <c r="D43" t="s">
        <v>161</v>
      </c>
      <c r="E43" t="s">
        <v>146</v>
      </c>
    </row>
    <row r="44" spans="1:18" x14ac:dyDescent="0.25">
      <c r="A44" t="s">
        <v>149</v>
      </c>
      <c r="B44" t="s">
        <v>150</v>
      </c>
    </row>
    <row r="45" spans="1:18" x14ac:dyDescent="0.25">
      <c r="A45" t="s">
        <v>153</v>
      </c>
      <c r="B45" t="s">
        <v>152</v>
      </c>
    </row>
    <row r="46" spans="1:18" x14ac:dyDescent="0.25">
      <c r="A46" t="s">
        <v>162</v>
      </c>
      <c r="B46" t="s">
        <v>163</v>
      </c>
    </row>
    <row r="47" spans="1:18" x14ac:dyDescent="0.25">
      <c r="A47" t="s">
        <v>159</v>
      </c>
    </row>
    <row r="48" spans="1:18" x14ac:dyDescent="0.25">
      <c r="A48" t="s">
        <v>3</v>
      </c>
      <c r="B48" t="s">
        <v>73</v>
      </c>
    </row>
    <row r="50" spans="2:2" x14ac:dyDescent="0.25">
      <c r="B50" t="s">
        <v>184</v>
      </c>
    </row>
    <row r="51" spans="2:2" x14ac:dyDescent="0.25">
      <c r="B51" s="1" t="s">
        <v>185</v>
      </c>
    </row>
    <row r="52" spans="2:2" x14ac:dyDescent="0.25">
      <c r="B52" s="1" t="s">
        <v>186</v>
      </c>
    </row>
    <row r="53" spans="2:2" x14ac:dyDescent="0.25">
      <c r="B53" t="s">
        <v>187</v>
      </c>
    </row>
  </sheetData>
  <hyperlinks>
    <hyperlink ref="D3" r:id="rId1" xr:uid="{B702C5FC-6978-4A14-9DA5-72D2D2317AA8}"/>
    <hyperlink ref="D4:D5" r:id="rId2" display="Nexu$123!@#" xr:uid="{37715AFD-4D4F-4B8A-AF42-0CAC499ACDB3}"/>
    <hyperlink ref="D5" r:id="rId3" xr:uid="{7CD105E2-19C8-44C4-A9DC-1F6A9A97CF34}"/>
    <hyperlink ref="D4" r:id="rId4" xr:uid="{27E5B368-439D-408F-963A-952B3591B19E}"/>
    <hyperlink ref="D21" r:id="rId5" xr:uid="{EBA3E837-E4E6-41A2-9B65-CEE6C1A80BEE}"/>
    <hyperlink ref="B43" r:id="rId6" xr:uid="{7F5FE03E-7999-406C-BB5B-B9D841B3FE6D}"/>
    <hyperlink ref="D6" r:id="rId7" xr:uid="{E5263D07-A1C3-4289-9305-AC3141CB7EDF}"/>
    <hyperlink ref="D7" r:id="rId8" xr:uid="{4C21430B-EA63-48D8-A756-66C231085BE6}"/>
    <hyperlink ref="B51" r:id="rId9" xr:uid="{0D5606DD-E557-4F8D-A409-A8B488B7ECC1}"/>
    <hyperlink ref="C10" r:id="rId10" xr:uid="{3F5DFEC9-4FB6-421E-80B7-B82AF9B59995}"/>
    <hyperlink ref="D13" r:id="rId11" xr:uid="{FE8D3526-3E86-4857-BCEF-95F4CC6E536C}"/>
    <hyperlink ref="D8" r:id="rId12" xr:uid="{FDC11B5F-BFA9-4509-B06D-925D5FF922D5}"/>
    <hyperlink ref="C22" r:id="rId13" xr:uid="{7FFA0C5B-2DF7-480B-B352-041507F9C44A}"/>
    <hyperlink ref="D9" r:id="rId14" xr:uid="{8B603FAD-DA55-4A94-B9C5-8D1BC9A65EF5}"/>
    <hyperlink ref="C23" r:id="rId15" xr:uid="{056B46BC-C75D-4AAF-A402-06B526805303}"/>
    <hyperlink ref="D23" r:id="rId16" xr:uid="{A9BF0F36-5915-4C9E-AE78-929F09EDAB55}"/>
    <hyperlink ref="D18" r:id="rId17" xr:uid="{DBCFF43C-A0ED-4DE7-A071-6A775EA680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1027-14EB-4A4A-B389-A89038E67B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9B43-433B-446D-AACA-4E88B078AE1E}">
  <dimension ref="A1:L154"/>
  <sheetViews>
    <sheetView topLeftCell="A112" workbookViewId="0">
      <selection activeCell="C145" sqref="C145"/>
    </sheetView>
  </sheetViews>
  <sheetFormatPr defaultRowHeight="15" x14ac:dyDescent="0.25"/>
  <cols>
    <col min="3" max="3" width="15.5703125" bestFit="1" customWidth="1"/>
  </cols>
  <sheetData>
    <row r="1" spans="1:12" x14ac:dyDescent="0.25">
      <c r="A1" t="s">
        <v>242</v>
      </c>
      <c r="B1" t="s">
        <v>364</v>
      </c>
      <c r="C1" t="s">
        <v>243</v>
      </c>
      <c r="D1" t="s">
        <v>245</v>
      </c>
      <c r="E1" t="s">
        <v>244</v>
      </c>
      <c r="F1" t="s">
        <v>246</v>
      </c>
      <c r="G1" t="s">
        <v>365</v>
      </c>
      <c r="H1" t="s">
        <v>257</v>
      </c>
      <c r="I1" t="s">
        <v>366</v>
      </c>
      <c r="J1" t="s">
        <v>367</v>
      </c>
      <c r="K1" t="s">
        <v>368</v>
      </c>
      <c r="L1" t="s">
        <v>301</v>
      </c>
    </row>
    <row r="2" spans="1:12" x14ac:dyDescent="0.25">
      <c r="A2">
        <v>5288</v>
      </c>
      <c r="B2">
        <v>3134</v>
      </c>
      <c r="C2" s="19">
        <v>46059.392040127314</v>
      </c>
      <c r="D2" t="s">
        <v>267</v>
      </c>
      <c r="E2">
        <v>1</v>
      </c>
      <c r="F2" t="s">
        <v>267</v>
      </c>
      <c r="G2" t="s">
        <v>267</v>
      </c>
      <c r="H2">
        <v>122</v>
      </c>
      <c r="I2">
        <v>0</v>
      </c>
      <c r="J2" t="s">
        <v>267</v>
      </c>
      <c r="K2" t="s">
        <v>267</v>
      </c>
      <c r="L2">
        <v>110</v>
      </c>
    </row>
    <row r="3" spans="1:12" x14ac:dyDescent="0.25">
      <c r="A3">
        <v>5289</v>
      </c>
      <c r="B3">
        <v>3134</v>
      </c>
      <c r="C3" s="19">
        <v>46059.392040127314</v>
      </c>
      <c r="D3" t="s">
        <v>267</v>
      </c>
      <c r="E3">
        <v>1</v>
      </c>
      <c r="F3" t="s">
        <v>267</v>
      </c>
      <c r="G3" t="s">
        <v>267</v>
      </c>
      <c r="H3">
        <v>257</v>
      </c>
      <c r="I3">
        <v>0</v>
      </c>
      <c r="J3" t="s">
        <v>267</v>
      </c>
      <c r="K3" t="s">
        <v>267</v>
      </c>
      <c r="L3">
        <v>11</v>
      </c>
    </row>
    <row r="4" spans="1:12" x14ac:dyDescent="0.25">
      <c r="A4">
        <v>5290</v>
      </c>
      <c r="B4">
        <v>3134</v>
      </c>
      <c r="C4" s="19">
        <v>46059.392040127314</v>
      </c>
      <c r="D4" t="s">
        <v>267</v>
      </c>
      <c r="E4">
        <v>1</v>
      </c>
      <c r="F4" t="s">
        <v>267</v>
      </c>
      <c r="G4" t="s">
        <v>267</v>
      </c>
      <c r="H4">
        <v>707</v>
      </c>
      <c r="I4">
        <v>0</v>
      </c>
      <c r="J4" t="s">
        <v>267</v>
      </c>
      <c r="K4" t="s">
        <v>267</v>
      </c>
      <c r="L4">
        <v>724</v>
      </c>
    </row>
    <row r="5" spans="1:12" x14ac:dyDescent="0.25">
      <c r="A5">
        <v>5291</v>
      </c>
      <c r="B5">
        <v>3134</v>
      </c>
      <c r="C5" s="19">
        <v>46059.392040127314</v>
      </c>
      <c r="D5" t="s">
        <v>267</v>
      </c>
      <c r="E5">
        <v>1</v>
      </c>
      <c r="F5" t="s">
        <v>267</v>
      </c>
      <c r="G5" t="s">
        <v>267</v>
      </c>
      <c r="H5">
        <v>711</v>
      </c>
      <c r="I5">
        <v>0</v>
      </c>
      <c r="J5" t="s">
        <v>267</v>
      </c>
      <c r="K5" t="s">
        <v>267</v>
      </c>
      <c r="L5">
        <v>648</v>
      </c>
    </row>
    <row r="6" spans="1:12" x14ac:dyDescent="0.25">
      <c r="A6">
        <v>5292</v>
      </c>
      <c r="B6">
        <v>3134</v>
      </c>
      <c r="C6" s="19">
        <v>46059.392040127314</v>
      </c>
      <c r="D6" t="s">
        <v>267</v>
      </c>
      <c r="E6">
        <v>1</v>
      </c>
      <c r="F6" t="s">
        <v>267</v>
      </c>
      <c r="G6" t="s">
        <v>267</v>
      </c>
      <c r="H6">
        <v>6407</v>
      </c>
      <c r="I6">
        <v>0</v>
      </c>
      <c r="J6" t="s">
        <v>267</v>
      </c>
      <c r="K6" t="s">
        <v>267</v>
      </c>
      <c r="L6">
        <v>2028</v>
      </c>
    </row>
    <row r="7" spans="1:12" x14ac:dyDescent="0.25">
      <c r="A7">
        <v>5293</v>
      </c>
      <c r="B7">
        <v>3134</v>
      </c>
      <c r="C7" s="19">
        <v>46059.392040127314</v>
      </c>
      <c r="D7" t="s">
        <v>267</v>
      </c>
      <c r="E7">
        <v>1</v>
      </c>
      <c r="F7" t="s">
        <v>267</v>
      </c>
      <c r="G7" t="s">
        <v>267</v>
      </c>
      <c r="H7">
        <v>6947</v>
      </c>
      <c r="I7">
        <v>0</v>
      </c>
      <c r="J7" t="s">
        <v>267</v>
      </c>
      <c r="K7" t="s">
        <v>267</v>
      </c>
      <c r="L7">
        <v>2107</v>
      </c>
    </row>
    <row r="8" spans="1:12" x14ac:dyDescent="0.25">
      <c r="A8">
        <v>5294</v>
      </c>
      <c r="B8">
        <v>3134</v>
      </c>
      <c r="C8" s="19">
        <v>46059.392040127314</v>
      </c>
      <c r="D8" t="s">
        <v>267</v>
      </c>
      <c r="E8">
        <v>1</v>
      </c>
      <c r="F8" t="s">
        <v>267</v>
      </c>
      <c r="G8" t="s">
        <v>267</v>
      </c>
      <c r="H8">
        <v>7872</v>
      </c>
      <c r="I8">
        <v>0</v>
      </c>
      <c r="J8" t="s">
        <v>267</v>
      </c>
      <c r="K8" t="s">
        <v>267</v>
      </c>
      <c r="L8">
        <v>2260</v>
      </c>
    </row>
    <row r="9" spans="1:12" x14ac:dyDescent="0.25">
      <c r="A9">
        <v>5295</v>
      </c>
      <c r="B9">
        <v>3134</v>
      </c>
      <c r="C9" s="19">
        <v>46059.392040127314</v>
      </c>
      <c r="D9" t="s">
        <v>267</v>
      </c>
      <c r="E9">
        <v>1</v>
      </c>
      <c r="F9" t="s">
        <v>267</v>
      </c>
      <c r="G9" t="s">
        <v>267</v>
      </c>
      <c r="H9">
        <v>9678</v>
      </c>
      <c r="I9">
        <v>0</v>
      </c>
      <c r="J9" t="s">
        <v>267</v>
      </c>
      <c r="K9" t="s">
        <v>267</v>
      </c>
      <c r="L9">
        <v>55</v>
      </c>
    </row>
    <row r="10" spans="1:12" x14ac:dyDescent="0.25">
      <c r="A10">
        <v>5296</v>
      </c>
      <c r="B10">
        <v>3134</v>
      </c>
      <c r="C10" s="19">
        <v>46059.392040127314</v>
      </c>
      <c r="D10" t="s">
        <v>267</v>
      </c>
      <c r="E10">
        <v>1</v>
      </c>
      <c r="F10" t="s">
        <v>267</v>
      </c>
      <c r="G10" t="s">
        <v>267</v>
      </c>
      <c r="H10">
        <v>9705</v>
      </c>
      <c r="I10">
        <v>0</v>
      </c>
      <c r="J10" t="s">
        <v>267</v>
      </c>
      <c r="K10" t="s">
        <v>267</v>
      </c>
      <c r="L10">
        <v>2398</v>
      </c>
    </row>
    <row r="11" spans="1:12" x14ac:dyDescent="0.25">
      <c r="A11">
        <v>5297</v>
      </c>
      <c r="B11">
        <v>3134</v>
      </c>
      <c r="C11" s="19">
        <v>46059.392051932868</v>
      </c>
      <c r="D11" t="s">
        <v>267</v>
      </c>
      <c r="E11">
        <v>1</v>
      </c>
      <c r="F11" t="s">
        <v>267</v>
      </c>
      <c r="G11" t="s">
        <v>267</v>
      </c>
      <c r="H11">
        <v>6718</v>
      </c>
      <c r="I11">
        <v>0</v>
      </c>
      <c r="J11" t="s">
        <v>267</v>
      </c>
      <c r="K11" t="s">
        <v>267</v>
      </c>
      <c r="L11">
        <v>2079</v>
      </c>
    </row>
    <row r="12" spans="1:12" x14ac:dyDescent="0.25">
      <c r="A12">
        <v>5298</v>
      </c>
      <c r="B12">
        <v>3134</v>
      </c>
      <c r="C12" s="19">
        <v>46059.392051932868</v>
      </c>
      <c r="D12" t="s">
        <v>267</v>
      </c>
      <c r="E12">
        <v>1</v>
      </c>
      <c r="F12" t="s">
        <v>267</v>
      </c>
      <c r="G12" t="s">
        <v>267</v>
      </c>
      <c r="H12">
        <v>9594</v>
      </c>
      <c r="I12">
        <v>0</v>
      </c>
      <c r="J12" t="s">
        <v>267</v>
      </c>
      <c r="K12" t="s">
        <v>267</v>
      </c>
      <c r="L12">
        <v>791</v>
      </c>
    </row>
    <row r="13" spans="1:12" x14ac:dyDescent="0.25">
      <c r="A13">
        <v>5299</v>
      </c>
      <c r="B13">
        <v>3134</v>
      </c>
      <c r="C13" s="19">
        <v>46059.392051932868</v>
      </c>
      <c r="D13" t="s">
        <v>267</v>
      </c>
      <c r="E13">
        <v>1</v>
      </c>
      <c r="F13" t="s">
        <v>267</v>
      </c>
      <c r="G13" t="s">
        <v>267</v>
      </c>
      <c r="H13">
        <v>9679</v>
      </c>
      <c r="I13">
        <v>0</v>
      </c>
      <c r="J13" t="s">
        <v>267</v>
      </c>
      <c r="K13" t="s">
        <v>267</v>
      </c>
      <c r="L13">
        <v>2057</v>
      </c>
    </row>
    <row r="14" spans="1:12" x14ac:dyDescent="0.25">
      <c r="A14">
        <v>5328</v>
      </c>
      <c r="B14">
        <v>3134</v>
      </c>
      <c r="C14" s="19">
        <v>46063.229199571761</v>
      </c>
      <c r="D14" t="s">
        <v>267</v>
      </c>
      <c r="E14">
        <v>1</v>
      </c>
      <c r="F14" t="s">
        <v>267</v>
      </c>
      <c r="G14" t="s">
        <v>267</v>
      </c>
      <c r="H14">
        <v>5205</v>
      </c>
      <c r="I14">
        <v>0</v>
      </c>
      <c r="J14" t="s">
        <v>267</v>
      </c>
      <c r="K14" t="s">
        <v>267</v>
      </c>
      <c r="L14">
        <v>1979</v>
      </c>
    </row>
    <row r="15" spans="1:12" x14ac:dyDescent="0.25">
      <c r="A15">
        <v>5329</v>
      </c>
      <c r="B15">
        <v>3134</v>
      </c>
      <c r="C15" s="19">
        <v>46063.229199571761</v>
      </c>
      <c r="D15" t="s">
        <v>267</v>
      </c>
      <c r="E15">
        <v>1</v>
      </c>
      <c r="F15" t="s">
        <v>267</v>
      </c>
      <c r="G15" t="s">
        <v>267</v>
      </c>
      <c r="H15">
        <v>9715</v>
      </c>
      <c r="I15">
        <v>0</v>
      </c>
      <c r="J15" t="s">
        <v>267</v>
      </c>
      <c r="K15" t="s">
        <v>267</v>
      </c>
      <c r="L15">
        <v>272</v>
      </c>
    </row>
    <row r="16" spans="1:12" x14ac:dyDescent="0.25">
      <c r="A16">
        <v>5330</v>
      </c>
      <c r="B16">
        <v>3134</v>
      </c>
      <c r="C16" s="19">
        <v>46063.229210648147</v>
      </c>
      <c r="D16" t="s">
        <v>267</v>
      </c>
      <c r="E16">
        <v>1</v>
      </c>
      <c r="F16" t="s">
        <v>267</v>
      </c>
      <c r="G16" t="s">
        <v>267</v>
      </c>
      <c r="H16">
        <v>27</v>
      </c>
      <c r="I16">
        <v>0</v>
      </c>
      <c r="J16" t="s">
        <v>267</v>
      </c>
      <c r="K16" t="s">
        <v>267</v>
      </c>
      <c r="L16">
        <v>34</v>
      </c>
    </row>
    <row r="17" spans="1:12" x14ac:dyDescent="0.25">
      <c r="A17">
        <v>5331</v>
      </c>
      <c r="B17">
        <v>3134</v>
      </c>
      <c r="C17" s="19">
        <v>46063.229210648147</v>
      </c>
      <c r="D17" t="s">
        <v>267</v>
      </c>
      <c r="E17">
        <v>1</v>
      </c>
      <c r="F17" t="s">
        <v>267</v>
      </c>
      <c r="G17" t="s">
        <v>267</v>
      </c>
      <c r="H17">
        <v>4612</v>
      </c>
      <c r="I17">
        <v>0</v>
      </c>
      <c r="J17" t="s">
        <v>267</v>
      </c>
      <c r="K17" t="s">
        <v>267</v>
      </c>
      <c r="L17">
        <v>821</v>
      </c>
    </row>
    <row r="18" spans="1:12" x14ac:dyDescent="0.25">
      <c r="A18">
        <v>5347</v>
      </c>
      <c r="B18">
        <v>3134</v>
      </c>
      <c r="C18" s="19">
        <v>46064.229190127313</v>
      </c>
      <c r="D18" t="s">
        <v>267</v>
      </c>
      <c r="E18">
        <v>1</v>
      </c>
      <c r="F18" t="s">
        <v>267</v>
      </c>
      <c r="G18" t="s">
        <v>267</v>
      </c>
      <c r="H18">
        <v>27</v>
      </c>
      <c r="I18">
        <v>0</v>
      </c>
      <c r="J18" t="s">
        <v>267</v>
      </c>
      <c r="K18" t="s">
        <v>267</v>
      </c>
      <c r="L18">
        <v>34</v>
      </c>
    </row>
    <row r="19" spans="1:12" x14ac:dyDescent="0.25">
      <c r="A19">
        <v>5348</v>
      </c>
      <c r="B19">
        <v>3134</v>
      </c>
      <c r="C19" s="19">
        <v>46064.229190127313</v>
      </c>
      <c r="D19" t="s">
        <v>267</v>
      </c>
      <c r="E19">
        <v>1</v>
      </c>
      <c r="F19" t="s">
        <v>267</v>
      </c>
      <c r="G19" t="s">
        <v>267</v>
      </c>
      <c r="H19">
        <v>711</v>
      </c>
      <c r="I19">
        <v>0</v>
      </c>
      <c r="J19" t="s">
        <v>267</v>
      </c>
      <c r="K19" t="s">
        <v>267</v>
      </c>
      <c r="L19">
        <v>648</v>
      </c>
    </row>
    <row r="20" spans="1:12" x14ac:dyDescent="0.25">
      <c r="A20">
        <v>5349</v>
      </c>
      <c r="B20">
        <v>3134</v>
      </c>
      <c r="C20" s="19">
        <v>46064.229190127313</v>
      </c>
      <c r="D20" t="s">
        <v>267</v>
      </c>
      <c r="E20">
        <v>1</v>
      </c>
      <c r="F20" t="s">
        <v>267</v>
      </c>
      <c r="G20" t="s">
        <v>267</v>
      </c>
      <c r="H20">
        <v>4874</v>
      </c>
      <c r="I20">
        <v>0</v>
      </c>
      <c r="J20" t="s">
        <v>267</v>
      </c>
      <c r="K20" t="s">
        <v>267</v>
      </c>
      <c r="L20">
        <v>1916</v>
      </c>
    </row>
    <row r="21" spans="1:12" x14ac:dyDescent="0.25">
      <c r="A21">
        <v>5350</v>
      </c>
      <c r="B21">
        <v>3134</v>
      </c>
      <c r="C21" s="19">
        <v>46064.229190127313</v>
      </c>
      <c r="D21" t="s">
        <v>267</v>
      </c>
      <c r="E21">
        <v>1</v>
      </c>
      <c r="F21" t="s">
        <v>267</v>
      </c>
      <c r="G21" t="s">
        <v>267</v>
      </c>
      <c r="H21">
        <v>6870</v>
      </c>
      <c r="I21">
        <v>0</v>
      </c>
      <c r="J21" t="s">
        <v>267</v>
      </c>
      <c r="K21" t="s">
        <v>267</v>
      </c>
      <c r="L21">
        <v>2095</v>
      </c>
    </row>
    <row r="22" spans="1:12" x14ac:dyDescent="0.25">
      <c r="A22">
        <v>5351</v>
      </c>
      <c r="B22">
        <v>3134</v>
      </c>
      <c r="C22" s="19">
        <v>46064.229190127313</v>
      </c>
      <c r="D22" t="s">
        <v>267</v>
      </c>
      <c r="E22">
        <v>1</v>
      </c>
      <c r="F22" t="s">
        <v>267</v>
      </c>
      <c r="G22" t="s">
        <v>267</v>
      </c>
      <c r="H22">
        <v>9774</v>
      </c>
      <c r="I22">
        <v>0</v>
      </c>
      <c r="J22" t="s">
        <v>267</v>
      </c>
      <c r="K22" t="s">
        <v>267</v>
      </c>
      <c r="L22">
        <v>2157</v>
      </c>
    </row>
    <row r="23" spans="1:12" x14ac:dyDescent="0.25">
      <c r="A23">
        <v>5352</v>
      </c>
      <c r="B23">
        <v>3134</v>
      </c>
      <c r="C23" s="19">
        <v>46064.229201770831</v>
      </c>
      <c r="D23" t="s">
        <v>267</v>
      </c>
      <c r="E23">
        <v>1</v>
      </c>
      <c r="F23" t="s">
        <v>267</v>
      </c>
      <c r="G23" t="s">
        <v>267</v>
      </c>
      <c r="H23">
        <v>4612</v>
      </c>
      <c r="I23">
        <v>0</v>
      </c>
      <c r="J23" t="s">
        <v>267</v>
      </c>
      <c r="K23" t="s">
        <v>267</v>
      </c>
      <c r="L23">
        <v>821</v>
      </c>
    </row>
    <row r="24" spans="1:12" x14ac:dyDescent="0.25">
      <c r="A24">
        <v>5353</v>
      </c>
      <c r="B24">
        <v>3134</v>
      </c>
      <c r="C24" s="19">
        <v>46064.229201770831</v>
      </c>
      <c r="D24" t="s">
        <v>267</v>
      </c>
      <c r="E24">
        <v>1</v>
      </c>
      <c r="F24" t="s">
        <v>267</v>
      </c>
      <c r="G24" t="s">
        <v>267</v>
      </c>
      <c r="H24">
        <v>8432</v>
      </c>
      <c r="I24">
        <v>0</v>
      </c>
      <c r="J24" t="s">
        <v>267</v>
      </c>
      <c r="K24" t="s">
        <v>267</v>
      </c>
      <c r="L24">
        <v>116</v>
      </c>
    </row>
    <row r="25" spans="1:12" x14ac:dyDescent="0.25">
      <c r="A25">
        <v>5354</v>
      </c>
      <c r="B25">
        <v>3134</v>
      </c>
      <c r="C25" s="19">
        <v>46064.229201770831</v>
      </c>
      <c r="D25" t="s">
        <v>267</v>
      </c>
      <c r="E25">
        <v>1</v>
      </c>
      <c r="F25" t="s">
        <v>267</v>
      </c>
      <c r="G25" t="s">
        <v>267</v>
      </c>
      <c r="H25">
        <v>9717</v>
      </c>
      <c r="I25">
        <v>0</v>
      </c>
      <c r="J25" t="s">
        <v>267</v>
      </c>
      <c r="K25" t="s">
        <v>267</v>
      </c>
      <c r="L25">
        <v>1691</v>
      </c>
    </row>
    <row r="26" spans="1:12" x14ac:dyDescent="0.25">
      <c r="A26">
        <v>5361</v>
      </c>
      <c r="B26">
        <v>3134</v>
      </c>
      <c r="C26" s="19">
        <v>46065.229188541663</v>
      </c>
      <c r="D26" t="s">
        <v>267</v>
      </c>
      <c r="E26">
        <v>1</v>
      </c>
      <c r="F26" t="s">
        <v>267</v>
      </c>
      <c r="G26" t="s">
        <v>267</v>
      </c>
      <c r="H26">
        <v>7976</v>
      </c>
      <c r="I26">
        <v>0</v>
      </c>
      <c r="J26" t="s">
        <v>267</v>
      </c>
      <c r="K26" t="s">
        <v>267</v>
      </c>
      <c r="L26">
        <v>2288</v>
      </c>
    </row>
    <row r="27" spans="1:12" x14ac:dyDescent="0.25">
      <c r="A27">
        <v>5362</v>
      </c>
      <c r="B27">
        <v>3134</v>
      </c>
      <c r="C27" s="19">
        <v>46065.229200729169</v>
      </c>
      <c r="D27" t="s">
        <v>267</v>
      </c>
      <c r="E27">
        <v>1</v>
      </c>
      <c r="F27" t="s">
        <v>267</v>
      </c>
      <c r="G27" t="s">
        <v>267</v>
      </c>
      <c r="H27">
        <v>9679</v>
      </c>
      <c r="I27">
        <v>0</v>
      </c>
      <c r="J27" t="s">
        <v>267</v>
      </c>
      <c r="K27" t="s">
        <v>267</v>
      </c>
      <c r="L27">
        <v>2057</v>
      </c>
    </row>
    <row r="28" spans="1:12" x14ac:dyDescent="0.25">
      <c r="A28">
        <v>5378</v>
      </c>
      <c r="B28">
        <v>3134</v>
      </c>
      <c r="C28" s="19">
        <v>46066.22918923611</v>
      </c>
      <c r="D28" t="s">
        <v>267</v>
      </c>
      <c r="E28">
        <v>1</v>
      </c>
      <c r="F28" t="s">
        <v>267</v>
      </c>
      <c r="G28" t="s">
        <v>267</v>
      </c>
      <c r="H28">
        <v>646</v>
      </c>
      <c r="I28">
        <v>0</v>
      </c>
      <c r="J28" t="s">
        <v>267</v>
      </c>
      <c r="K28" t="s">
        <v>267</v>
      </c>
      <c r="L28">
        <v>673</v>
      </c>
    </row>
    <row r="29" spans="1:12" x14ac:dyDescent="0.25">
      <c r="A29">
        <v>5379</v>
      </c>
      <c r="B29">
        <v>3134</v>
      </c>
      <c r="C29" s="19">
        <v>46066.22918923611</v>
      </c>
      <c r="D29" t="s">
        <v>267</v>
      </c>
      <c r="E29">
        <v>1</v>
      </c>
      <c r="F29" t="s">
        <v>267</v>
      </c>
      <c r="G29" t="s">
        <v>267</v>
      </c>
      <c r="H29">
        <v>1072</v>
      </c>
      <c r="I29">
        <v>0</v>
      </c>
      <c r="J29" t="s">
        <v>267</v>
      </c>
      <c r="K29" t="s">
        <v>267</v>
      </c>
      <c r="L29">
        <v>906</v>
      </c>
    </row>
    <row r="30" spans="1:12" x14ac:dyDescent="0.25">
      <c r="A30">
        <v>5380</v>
      </c>
      <c r="B30">
        <v>3134</v>
      </c>
      <c r="C30" s="19">
        <v>46066.22918923611</v>
      </c>
      <c r="D30" t="s">
        <v>267</v>
      </c>
      <c r="E30">
        <v>1</v>
      </c>
      <c r="F30" t="s">
        <v>267</v>
      </c>
      <c r="G30" t="s">
        <v>267</v>
      </c>
      <c r="H30">
        <v>1441</v>
      </c>
      <c r="I30">
        <v>0</v>
      </c>
      <c r="J30" t="s">
        <v>267</v>
      </c>
      <c r="K30" t="s">
        <v>267</v>
      </c>
      <c r="L30">
        <v>1224</v>
      </c>
    </row>
    <row r="31" spans="1:12" x14ac:dyDescent="0.25">
      <c r="A31">
        <v>5381</v>
      </c>
      <c r="B31">
        <v>3134</v>
      </c>
      <c r="C31" s="19">
        <v>46066.22918923611</v>
      </c>
      <c r="D31" t="s">
        <v>267</v>
      </c>
      <c r="E31">
        <v>1</v>
      </c>
      <c r="F31" t="s">
        <v>267</v>
      </c>
      <c r="G31" t="s">
        <v>267</v>
      </c>
      <c r="H31">
        <v>9717</v>
      </c>
      <c r="I31">
        <v>0</v>
      </c>
      <c r="J31" t="s">
        <v>267</v>
      </c>
      <c r="K31" t="s">
        <v>267</v>
      </c>
      <c r="L31">
        <v>1691</v>
      </c>
    </row>
    <row r="32" spans="1:12" x14ac:dyDescent="0.25">
      <c r="A32">
        <v>5388</v>
      </c>
      <c r="B32">
        <v>3134</v>
      </c>
      <c r="C32" s="19">
        <v>46070.229200543981</v>
      </c>
      <c r="D32" t="s">
        <v>267</v>
      </c>
      <c r="E32">
        <v>1</v>
      </c>
      <c r="F32" t="s">
        <v>267</v>
      </c>
      <c r="G32" t="s">
        <v>267</v>
      </c>
      <c r="H32">
        <v>1075</v>
      </c>
      <c r="I32">
        <v>0</v>
      </c>
      <c r="J32" t="s">
        <v>267</v>
      </c>
      <c r="K32" t="s">
        <v>267</v>
      </c>
      <c r="L32">
        <v>1010</v>
      </c>
    </row>
    <row r="33" spans="1:12" x14ac:dyDescent="0.25">
      <c r="A33">
        <v>5454</v>
      </c>
      <c r="B33">
        <v>3134</v>
      </c>
      <c r="C33" s="19">
        <v>46073.229197800923</v>
      </c>
      <c r="D33" t="s">
        <v>267</v>
      </c>
      <c r="E33">
        <v>1</v>
      </c>
      <c r="F33" t="s">
        <v>267</v>
      </c>
      <c r="G33" t="s">
        <v>267</v>
      </c>
      <c r="H33">
        <v>183</v>
      </c>
      <c r="I33">
        <v>0</v>
      </c>
      <c r="J33" t="s">
        <v>267</v>
      </c>
      <c r="K33" t="s">
        <v>267</v>
      </c>
      <c r="L33">
        <v>269</v>
      </c>
    </row>
    <row r="34" spans="1:12" x14ac:dyDescent="0.25">
      <c r="A34">
        <v>5455</v>
      </c>
      <c r="B34">
        <v>3134</v>
      </c>
      <c r="C34" s="19">
        <v>46073.229209259262</v>
      </c>
      <c r="D34" t="s">
        <v>267</v>
      </c>
      <c r="E34">
        <v>1</v>
      </c>
      <c r="F34" t="s">
        <v>267</v>
      </c>
      <c r="G34" t="s">
        <v>267</v>
      </c>
      <c r="H34">
        <v>9799</v>
      </c>
      <c r="I34">
        <v>0</v>
      </c>
      <c r="J34" t="s">
        <v>267</v>
      </c>
      <c r="K34" t="s">
        <v>267</v>
      </c>
      <c r="L34">
        <v>2410</v>
      </c>
    </row>
    <row r="35" spans="1:12" x14ac:dyDescent="0.25">
      <c r="A35">
        <v>5463</v>
      </c>
      <c r="B35">
        <v>3134</v>
      </c>
      <c r="C35" s="19">
        <v>46074.229196180553</v>
      </c>
      <c r="D35" t="s">
        <v>267</v>
      </c>
      <c r="E35">
        <v>1</v>
      </c>
      <c r="F35" t="s">
        <v>267</v>
      </c>
      <c r="G35" t="s">
        <v>267</v>
      </c>
      <c r="H35">
        <v>1444</v>
      </c>
      <c r="I35">
        <v>0</v>
      </c>
      <c r="J35" t="s">
        <v>267</v>
      </c>
      <c r="K35" t="s">
        <v>267</v>
      </c>
      <c r="L35">
        <v>1194</v>
      </c>
    </row>
    <row r="36" spans="1:12" x14ac:dyDescent="0.25">
      <c r="A36">
        <v>5464</v>
      </c>
      <c r="B36">
        <v>3134</v>
      </c>
      <c r="C36" s="19">
        <v>46074.229196180553</v>
      </c>
      <c r="D36" t="s">
        <v>267</v>
      </c>
      <c r="E36">
        <v>1</v>
      </c>
      <c r="F36" t="s">
        <v>267</v>
      </c>
      <c r="G36" t="s">
        <v>267</v>
      </c>
      <c r="H36">
        <v>2852</v>
      </c>
      <c r="I36">
        <v>0</v>
      </c>
      <c r="J36" t="s">
        <v>267</v>
      </c>
      <c r="K36" t="s">
        <v>267</v>
      </c>
      <c r="L36">
        <v>1539</v>
      </c>
    </row>
    <row r="37" spans="1:12" x14ac:dyDescent="0.25">
      <c r="A37">
        <v>5492</v>
      </c>
      <c r="B37">
        <v>3134</v>
      </c>
      <c r="C37" s="19">
        <v>46079.229209027777</v>
      </c>
      <c r="D37" t="s">
        <v>267</v>
      </c>
      <c r="E37">
        <v>1</v>
      </c>
      <c r="F37" t="s">
        <v>267</v>
      </c>
      <c r="G37" t="s">
        <v>267</v>
      </c>
      <c r="H37">
        <v>4612</v>
      </c>
      <c r="I37">
        <v>0</v>
      </c>
      <c r="J37" t="s">
        <v>267</v>
      </c>
      <c r="K37" t="s">
        <v>267</v>
      </c>
      <c r="L37">
        <v>821</v>
      </c>
    </row>
    <row r="38" spans="1:12" x14ac:dyDescent="0.25">
      <c r="A38">
        <v>5508</v>
      </c>
      <c r="B38">
        <v>3134</v>
      </c>
      <c r="C38" s="19">
        <v>46080.229193749998</v>
      </c>
      <c r="D38" t="s">
        <v>267</v>
      </c>
      <c r="E38">
        <v>1</v>
      </c>
      <c r="F38" t="s">
        <v>267</v>
      </c>
      <c r="G38" t="s">
        <v>267</v>
      </c>
      <c r="H38">
        <v>7</v>
      </c>
      <c r="I38">
        <v>0</v>
      </c>
      <c r="J38" t="s">
        <v>267</v>
      </c>
      <c r="K38" t="s">
        <v>267</v>
      </c>
      <c r="L38">
        <v>7</v>
      </c>
    </row>
    <row r="39" spans="1:12" x14ac:dyDescent="0.25">
      <c r="A39">
        <v>5510</v>
      </c>
      <c r="B39">
        <v>3134</v>
      </c>
      <c r="C39" s="19">
        <v>46080.562544062501</v>
      </c>
      <c r="D39" t="s">
        <v>267</v>
      </c>
      <c r="E39">
        <v>1</v>
      </c>
      <c r="F39" t="s">
        <v>267</v>
      </c>
      <c r="G39" t="s">
        <v>267</v>
      </c>
      <c r="H39">
        <v>9783</v>
      </c>
      <c r="I39">
        <v>0</v>
      </c>
      <c r="J39" t="s">
        <v>267</v>
      </c>
      <c r="K39" t="s">
        <v>267</v>
      </c>
      <c r="L39">
        <v>2409</v>
      </c>
    </row>
    <row r="40" spans="1:12" x14ac:dyDescent="0.25">
      <c r="A40">
        <v>5516</v>
      </c>
      <c r="B40">
        <v>3134</v>
      </c>
      <c r="C40" s="19">
        <v>46081.229202627313</v>
      </c>
      <c r="D40" t="s">
        <v>267</v>
      </c>
      <c r="E40">
        <v>1</v>
      </c>
      <c r="F40" t="s">
        <v>267</v>
      </c>
      <c r="G40" t="s">
        <v>267</v>
      </c>
      <c r="H40">
        <v>6574</v>
      </c>
      <c r="I40">
        <v>0</v>
      </c>
      <c r="J40" t="s">
        <v>267</v>
      </c>
      <c r="K40" t="s">
        <v>267</v>
      </c>
      <c r="L40">
        <v>2061</v>
      </c>
    </row>
    <row r="41" spans="1:12" x14ac:dyDescent="0.25">
      <c r="A41">
        <v>5517</v>
      </c>
      <c r="B41">
        <v>3134</v>
      </c>
      <c r="C41" s="19">
        <v>46081.229202627313</v>
      </c>
      <c r="D41" t="s">
        <v>267</v>
      </c>
      <c r="E41">
        <v>1</v>
      </c>
      <c r="F41" t="s">
        <v>267</v>
      </c>
      <c r="G41" t="s">
        <v>267</v>
      </c>
      <c r="H41">
        <v>7377</v>
      </c>
      <c r="I41">
        <v>0</v>
      </c>
      <c r="J41" t="s">
        <v>267</v>
      </c>
      <c r="K41" t="s">
        <v>267</v>
      </c>
      <c r="L41">
        <v>2169</v>
      </c>
    </row>
    <row r="42" spans="1:12" x14ac:dyDescent="0.25">
      <c r="A42">
        <v>5518</v>
      </c>
      <c r="B42">
        <v>3134</v>
      </c>
      <c r="C42" s="19">
        <v>46081.229202627313</v>
      </c>
      <c r="D42" t="s">
        <v>267</v>
      </c>
      <c r="E42">
        <v>1</v>
      </c>
      <c r="F42" t="s">
        <v>267</v>
      </c>
      <c r="G42" t="s">
        <v>267</v>
      </c>
      <c r="H42">
        <v>9783</v>
      </c>
      <c r="I42">
        <v>0</v>
      </c>
      <c r="J42" t="s">
        <v>267</v>
      </c>
      <c r="K42" t="s">
        <v>267</v>
      </c>
      <c r="L42">
        <v>2409</v>
      </c>
    </row>
    <row r="43" spans="1:12" x14ac:dyDescent="0.25">
      <c r="A43">
        <v>5519</v>
      </c>
      <c r="B43">
        <v>3134</v>
      </c>
      <c r="C43" s="19">
        <v>46081.229202627313</v>
      </c>
      <c r="D43" t="s">
        <v>267</v>
      </c>
      <c r="E43">
        <v>1</v>
      </c>
      <c r="F43" t="s">
        <v>267</v>
      </c>
      <c r="G43" t="s">
        <v>267</v>
      </c>
      <c r="H43">
        <v>9951</v>
      </c>
      <c r="I43">
        <v>0</v>
      </c>
      <c r="J43" t="s">
        <v>267</v>
      </c>
      <c r="K43" t="s">
        <v>267</v>
      </c>
      <c r="L43">
        <v>1051</v>
      </c>
    </row>
    <row r="44" spans="1:12" x14ac:dyDescent="0.25">
      <c r="A44">
        <v>5523</v>
      </c>
      <c r="B44">
        <v>3134</v>
      </c>
      <c r="C44" s="19">
        <v>46083.562552974538</v>
      </c>
      <c r="D44" t="s">
        <v>267</v>
      </c>
      <c r="E44">
        <v>1</v>
      </c>
      <c r="F44" t="s">
        <v>267</v>
      </c>
      <c r="G44" t="s">
        <v>267</v>
      </c>
      <c r="H44">
        <v>9783</v>
      </c>
      <c r="I44">
        <v>0</v>
      </c>
      <c r="J44" t="s">
        <v>267</v>
      </c>
      <c r="K44" t="s">
        <v>267</v>
      </c>
      <c r="L44">
        <v>2409</v>
      </c>
    </row>
    <row r="45" spans="1:12" x14ac:dyDescent="0.25">
      <c r="A45">
        <v>5532</v>
      </c>
      <c r="B45">
        <v>3134</v>
      </c>
      <c r="C45" s="19">
        <v>46084.229189467595</v>
      </c>
      <c r="D45" t="s">
        <v>267</v>
      </c>
      <c r="E45">
        <v>1</v>
      </c>
      <c r="F45" t="s">
        <v>267</v>
      </c>
      <c r="G45" t="s">
        <v>267</v>
      </c>
      <c r="H45">
        <v>165</v>
      </c>
      <c r="I45">
        <v>0</v>
      </c>
      <c r="J45" t="s">
        <v>267</v>
      </c>
      <c r="K45" t="s">
        <v>267</v>
      </c>
      <c r="L45">
        <v>247</v>
      </c>
    </row>
    <row r="46" spans="1:12" x14ac:dyDescent="0.25">
      <c r="A46">
        <v>5533</v>
      </c>
      <c r="B46">
        <v>3134</v>
      </c>
      <c r="C46" s="19">
        <v>46084.229189467595</v>
      </c>
      <c r="D46" t="s">
        <v>267</v>
      </c>
      <c r="E46">
        <v>1</v>
      </c>
      <c r="F46" t="s">
        <v>267</v>
      </c>
      <c r="G46" t="s">
        <v>267</v>
      </c>
      <c r="H46">
        <v>3078</v>
      </c>
      <c r="I46">
        <v>0</v>
      </c>
      <c r="J46" t="s">
        <v>267</v>
      </c>
      <c r="K46" t="s">
        <v>267</v>
      </c>
      <c r="L46">
        <v>1578</v>
      </c>
    </row>
    <row r="47" spans="1:12" x14ac:dyDescent="0.25">
      <c r="A47">
        <v>5534</v>
      </c>
      <c r="B47">
        <v>3134</v>
      </c>
      <c r="C47" s="19">
        <v>46084.229189467595</v>
      </c>
      <c r="D47" t="s">
        <v>267</v>
      </c>
      <c r="E47">
        <v>1</v>
      </c>
      <c r="F47" t="s">
        <v>267</v>
      </c>
      <c r="G47" t="s">
        <v>267</v>
      </c>
      <c r="H47">
        <v>7816</v>
      </c>
      <c r="I47">
        <v>0</v>
      </c>
      <c r="J47" t="s">
        <v>267</v>
      </c>
      <c r="K47" t="s">
        <v>267</v>
      </c>
      <c r="L47">
        <v>2248</v>
      </c>
    </row>
    <row r="48" spans="1:12" x14ac:dyDescent="0.25">
      <c r="A48">
        <v>5536</v>
      </c>
      <c r="B48">
        <v>3134</v>
      </c>
      <c r="C48" s="19">
        <v>46084.562533599536</v>
      </c>
      <c r="D48" t="s">
        <v>267</v>
      </c>
      <c r="E48">
        <v>1</v>
      </c>
      <c r="F48" t="s">
        <v>267</v>
      </c>
      <c r="G48" t="s">
        <v>267</v>
      </c>
      <c r="H48">
        <v>285</v>
      </c>
      <c r="I48">
        <v>0</v>
      </c>
      <c r="J48" t="s">
        <v>267</v>
      </c>
      <c r="K48" t="s">
        <v>267</v>
      </c>
      <c r="L48">
        <v>101</v>
      </c>
    </row>
    <row r="49" spans="1:12" x14ac:dyDescent="0.25">
      <c r="A49">
        <v>5537</v>
      </c>
      <c r="B49">
        <v>3134</v>
      </c>
      <c r="C49" s="19">
        <v>46084.562533599536</v>
      </c>
      <c r="D49" t="s">
        <v>267</v>
      </c>
      <c r="E49">
        <v>1</v>
      </c>
      <c r="F49" t="s">
        <v>267</v>
      </c>
      <c r="G49" t="s">
        <v>267</v>
      </c>
      <c r="H49">
        <v>685</v>
      </c>
      <c r="I49">
        <v>0</v>
      </c>
      <c r="J49" t="s">
        <v>267</v>
      </c>
      <c r="K49" t="s">
        <v>267</v>
      </c>
      <c r="L49">
        <v>709</v>
      </c>
    </row>
    <row r="50" spans="1:12" x14ac:dyDescent="0.25">
      <c r="A50">
        <v>5538</v>
      </c>
      <c r="B50">
        <v>3134</v>
      </c>
      <c r="C50" s="19">
        <v>46084.562533599536</v>
      </c>
      <c r="D50" t="s">
        <v>267</v>
      </c>
      <c r="E50">
        <v>1</v>
      </c>
      <c r="F50" t="s">
        <v>267</v>
      </c>
      <c r="G50" t="s">
        <v>267</v>
      </c>
      <c r="H50">
        <v>907</v>
      </c>
      <c r="I50">
        <v>0</v>
      </c>
      <c r="J50" t="s">
        <v>267</v>
      </c>
      <c r="K50" t="s">
        <v>267</v>
      </c>
      <c r="L50">
        <v>895</v>
      </c>
    </row>
    <row r="51" spans="1:12" x14ac:dyDescent="0.25">
      <c r="A51">
        <v>5539</v>
      </c>
      <c r="B51">
        <v>3134</v>
      </c>
      <c r="C51" s="19">
        <v>46084.562533599536</v>
      </c>
      <c r="D51" t="s">
        <v>267</v>
      </c>
      <c r="E51">
        <v>1</v>
      </c>
      <c r="F51" t="s">
        <v>267</v>
      </c>
      <c r="G51" t="s">
        <v>267</v>
      </c>
      <c r="H51">
        <v>3078</v>
      </c>
      <c r="I51">
        <v>0</v>
      </c>
      <c r="J51" t="s">
        <v>267</v>
      </c>
      <c r="K51" t="s">
        <v>267</v>
      </c>
      <c r="L51">
        <v>1578</v>
      </c>
    </row>
    <row r="52" spans="1:12" x14ac:dyDescent="0.25">
      <c r="A52">
        <v>5540</v>
      </c>
      <c r="B52">
        <v>3134</v>
      </c>
      <c r="C52" s="19">
        <v>46084.562533599536</v>
      </c>
      <c r="D52" t="s">
        <v>267</v>
      </c>
      <c r="E52">
        <v>1</v>
      </c>
      <c r="F52" t="s">
        <v>267</v>
      </c>
      <c r="G52" t="s">
        <v>267</v>
      </c>
      <c r="H52">
        <v>7552</v>
      </c>
      <c r="I52">
        <v>0</v>
      </c>
      <c r="J52" t="s">
        <v>267</v>
      </c>
      <c r="K52" t="s">
        <v>267</v>
      </c>
      <c r="L52">
        <v>2200</v>
      </c>
    </row>
    <row r="53" spans="1:12" x14ac:dyDescent="0.25">
      <c r="A53">
        <v>5541</v>
      </c>
      <c r="B53">
        <v>3134</v>
      </c>
      <c r="C53" s="19">
        <v>46084.562533599536</v>
      </c>
      <c r="D53" t="s">
        <v>267</v>
      </c>
      <c r="E53">
        <v>1</v>
      </c>
      <c r="F53" t="s">
        <v>267</v>
      </c>
      <c r="G53" t="s">
        <v>267</v>
      </c>
      <c r="H53">
        <v>8191</v>
      </c>
      <c r="I53">
        <v>0</v>
      </c>
      <c r="J53" t="s">
        <v>267</v>
      </c>
      <c r="K53" t="s">
        <v>267</v>
      </c>
      <c r="L53">
        <v>2330</v>
      </c>
    </row>
    <row r="54" spans="1:12" x14ac:dyDescent="0.25">
      <c r="A54">
        <v>5542</v>
      </c>
      <c r="B54">
        <v>3134</v>
      </c>
      <c r="C54" s="19">
        <v>46084.562533599536</v>
      </c>
      <c r="D54" t="s">
        <v>267</v>
      </c>
      <c r="E54">
        <v>1</v>
      </c>
      <c r="F54" t="s">
        <v>267</v>
      </c>
      <c r="G54" t="s">
        <v>267</v>
      </c>
      <c r="H54">
        <v>8431</v>
      </c>
      <c r="I54">
        <v>0</v>
      </c>
      <c r="J54" t="s">
        <v>267</v>
      </c>
      <c r="K54" t="s">
        <v>267</v>
      </c>
      <c r="L54">
        <v>2368</v>
      </c>
    </row>
    <row r="55" spans="1:12" x14ac:dyDescent="0.25">
      <c r="A55">
        <v>5543</v>
      </c>
      <c r="B55">
        <v>3134</v>
      </c>
      <c r="C55" s="19">
        <v>46084.562547800924</v>
      </c>
      <c r="D55" t="s">
        <v>267</v>
      </c>
      <c r="E55">
        <v>1</v>
      </c>
      <c r="F55" t="s">
        <v>267</v>
      </c>
      <c r="G55" t="s">
        <v>267</v>
      </c>
      <c r="H55">
        <v>8191</v>
      </c>
      <c r="I55">
        <v>0</v>
      </c>
      <c r="J55" t="s">
        <v>267</v>
      </c>
      <c r="K55" t="s">
        <v>267</v>
      </c>
      <c r="L55">
        <v>2330</v>
      </c>
    </row>
    <row r="56" spans="1:12" x14ac:dyDescent="0.25">
      <c r="A56">
        <v>5554</v>
      </c>
      <c r="B56">
        <v>3134</v>
      </c>
      <c r="C56" s="19">
        <v>46085.229189432874</v>
      </c>
      <c r="D56" t="s">
        <v>267</v>
      </c>
      <c r="E56">
        <v>1</v>
      </c>
      <c r="F56" t="s">
        <v>267</v>
      </c>
      <c r="G56" t="s">
        <v>267</v>
      </c>
      <c r="H56">
        <v>126</v>
      </c>
      <c r="I56">
        <v>0</v>
      </c>
      <c r="J56" t="s">
        <v>267</v>
      </c>
      <c r="K56" t="s">
        <v>267</v>
      </c>
      <c r="L56">
        <v>16</v>
      </c>
    </row>
    <row r="57" spans="1:12" x14ac:dyDescent="0.25">
      <c r="A57">
        <v>5555</v>
      </c>
      <c r="B57">
        <v>3134</v>
      </c>
      <c r="C57" s="19">
        <v>46085.229189432874</v>
      </c>
      <c r="D57" t="s">
        <v>267</v>
      </c>
      <c r="E57">
        <v>1</v>
      </c>
      <c r="F57" t="s">
        <v>267</v>
      </c>
      <c r="G57" t="s">
        <v>267</v>
      </c>
      <c r="H57">
        <v>406</v>
      </c>
      <c r="I57">
        <v>0</v>
      </c>
      <c r="J57" t="s">
        <v>267</v>
      </c>
      <c r="K57" t="s">
        <v>267</v>
      </c>
      <c r="L57">
        <v>465</v>
      </c>
    </row>
    <row r="58" spans="1:12" x14ac:dyDescent="0.25">
      <c r="A58">
        <v>5556</v>
      </c>
      <c r="B58">
        <v>3134</v>
      </c>
      <c r="C58" s="19">
        <v>46085.229189432874</v>
      </c>
      <c r="D58" t="s">
        <v>267</v>
      </c>
      <c r="E58">
        <v>1</v>
      </c>
      <c r="F58" t="s">
        <v>267</v>
      </c>
      <c r="G58" t="s">
        <v>267</v>
      </c>
      <c r="H58">
        <v>816</v>
      </c>
      <c r="I58">
        <v>0</v>
      </c>
      <c r="J58" t="s">
        <v>267</v>
      </c>
      <c r="K58" t="s">
        <v>267</v>
      </c>
      <c r="L58">
        <v>803</v>
      </c>
    </row>
    <row r="59" spans="1:12" x14ac:dyDescent="0.25">
      <c r="A59">
        <v>5557</v>
      </c>
      <c r="B59">
        <v>3134</v>
      </c>
      <c r="C59" s="19">
        <v>46085.229189432874</v>
      </c>
      <c r="D59" t="s">
        <v>267</v>
      </c>
      <c r="E59">
        <v>1</v>
      </c>
      <c r="F59" t="s">
        <v>267</v>
      </c>
      <c r="G59" t="s">
        <v>267</v>
      </c>
      <c r="H59">
        <v>1083</v>
      </c>
      <c r="I59">
        <v>0</v>
      </c>
      <c r="J59" t="s">
        <v>267</v>
      </c>
      <c r="K59" t="s">
        <v>267</v>
      </c>
      <c r="L59">
        <v>1011</v>
      </c>
    </row>
    <row r="60" spans="1:12" x14ac:dyDescent="0.25">
      <c r="A60">
        <v>5558</v>
      </c>
      <c r="B60">
        <v>3134</v>
      </c>
      <c r="C60" s="19">
        <v>46085.229189432874</v>
      </c>
      <c r="D60" t="s">
        <v>267</v>
      </c>
      <c r="E60">
        <v>1</v>
      </c>
      <c r="F60" t="s">
        <v>267</v>
      </c>
      <c r="G60" t="s">
        <v>267</v>
      </c>
      <c r="H60">
        <v>9679</v>
      </c>
      <c r="I60">
        <v>0</v>
      </c>
      <c r="J60" t="s">
        <v>267</v>
      </c>
      <c r="K60" t="s">
        <v>267</v>
      </c>
      <c r="L60">
        <v>2057</v>
      </c>
    </row>
    <row r="61" spans="1:12" x14ac:dyDescent="0.25">
      <c r="A61">
        <v>5559</v>
      </c>
      <c r="B61">
        <v>3134</v>
      </c>
      <c r="C61" s="19">
        <v>46085.229200694448</v>
      </c>
      <c r="D61" t="s">
        <v>267</v>
      </c>
      <c r="E61">
        <v>1</v>
      </c>
      <c r="F61" t="s">
        <v>267</v>
      </c>
      <c r="G61" t="s">
        <v>267</v>
      </c>
      <c r="H61">
        <v>8431</v>
      </c>
      <c r="I61">
        <v>0</v>
      </c>
      <c r="J61" t="s">
        <v>267</v>
      </c>
      <c r="K61" t="s">
        <v>267</v>
      </c>
      <c r="L61">
        <v>2368</v>
      </c>
    </row>
    <row r="62" spans="1:12" x14ac:dyDescent="0.25">
      <c r="A62">
        <v>5560</v>
      </c>
      <c r="B62">
        <v>3134</v>
      </c>
      <c r="C62" s="19">
        <v>46085.229200694448</v>
      </c>
      <c r="D62" t="s">
        <v>267</v>
      </c>
      <c r="E62">
        <v>1</v>
      </c>
      <c r="F62" t="s">
        <v>267</v>
      </c>
      <c r="G62" t="s">
        <v>267</v>
      </c>
      <c r="H62">
        <v>10047</v>
      </c>
      <c r="I62">
        <v>0</v>
      </c>
      <c r="J62" t="s">
        <v>267</v>
      </c>
      <c r="K62" t="s">
        <v>267</v>
      </c>
      <c r="L62">
        <v>85</v>
      </c>
    </row>
    <row r="63" spans="1:12" x14ac:dyDescent="0.25">
      <c r="A63">
        <v>5561</v>
      </c>
      <c r="B63">
        <v>3134</v>
      </c>
      <c r="C63" s="19">
        <v>46085.229222951391</v>
      </c>
      <c r="D63" t="s">
        <v>267</v>
      </c>
      <c r="E63">
        <v>1</v>
      </c>
      <c r="F63" t="s">
        <v>267</v>
      </c>
      <c r="G63" t="s">
        <v>267</v>
      </c>
      <c r="H63">
        <v>8431</v>
      </c>
      <c r="I63">
        <v>0</v>
      </c>
      <c r="J63" t="s">
        <v>267</v>
      </c>
      <c r="K63" t="s">
        <v>267</v>
      </c>
      <c r="L63">
        <v>2368</v>
      </c>
    </row>
    <row r="64" spans="1:12" x14ac:dyDescent="0.25">
      <c r="A64">
        <v>5562</v>
      </c>
      <c r="B64">
        <v>3134</v>
      </c>
      <c r="C64" s="19">
        <v>46085.562542557869</v>
      </c>
      <c r="D64" t="s">
        <v>267</v>
      </c>
      <c r="E64">
        <v>1</v>
      </c>
      <c r="F64" t="s">
        <v>267</v>
      </c>
      <c r="G64" t="s">
        <v>267</v>
      </c>
      <c r="H64">
        <v>4522</v>
      </c>
      <c r="I64">
        <v>0</v>
      </c>
      <c r="J64" t="s">
        <v>267</v>
      </c>
      <c r="K64" t="s">
        <v>267</v>
      </c>
      <c r="L64">
        <v>111</v>
      </c>
    </row>
    <row r="65" spans="1:12" x14ac:dyDescent="0.25">
      <c r="A65">
        <v>5563</v>
      </c>
      <c r="B65">
        <v>3134</v>
      </c>
      <c r="C65" s="19">
        <v>46085.562542557869</v>
      </c>
      <c r="D65" t="s">
        <v>267</v>
      </c>
      <c r="E65">
        <v>1</v>
      </c>
      <c r="F65" t="s">
        <v>267</v>
      </c>
      <c r="G65" t="s">
        <v>267</v>
      </c>
      <c r="H65">
        <v>6837</v>
      </c>
      <c r="I65">
        <v>0</v>
      </c>
      <c r="J65" t="s">
        <v>267</v>
      </c>
      <c r="K65" t="s">
        <v>267</v>
      </c>
      <c r="L65">
        <v>519</v>
      </c>
    </row>
    <row r="66" spans="1:12" x14ac:dyDescent="0.25">
      <c r="A66">
        <v>5564</v>
      </c>
      <c r="B66">
        <v>3134</v>
      </c>
      <c r="C66" s="19">
        <v>46085.562542557869</v>
      </c>
      <c r="D66" t="s">
        <v>267</v>
      </c>
      <c r="E66">
        <v>1</v>
      </c>
      <c r="F66" t="s">
        <v>267</v>
      </c>
      <c r="G66" t="s">
        <v>267</v>
      </c>
      <c r="H66">
        <v>9807</v>
      </c>
      <c r="I66">
        <v>0</v>
      </c>
      <c r="J66" t="s">
        <v>267</v>
      </c>
      <c r="K66" t="s">
        <v>267</v>
      </c>
      <c r="L66">
        <v>2414</v>
      </c>
    </row>
    <row r="67" spans="1:12" x14ac:dyDescent="0.25">
      <c r="A67">
        <v>5566</v>
      </c>
      <c r="B67">
        <v>3134</v>
      </c>
      <c r="C67" s="19">
        <v>46086.229190706021</v>
      </c>
      <c r="D67" t="s">
        <v>267</v>
      </c>
      <c r="E67">
        <v>1</v>
      </c>
      <c r="F67" t="s">
        <v>267</v>
      </c>
      <c r="G67" t="s">
        <v>267</v>
      </c>
      <c r="H67">
        <v>7966</v>
      </c>
      <c r="I67">
        <v>0</v>
      </c>
      <c r="J67" t="s">
        <v>267</v>
      </c>
      <c r="K67" t="s">
        <v>267</v>
      </c>
      <c r="L67">
        <v>2284</v>
      </c>
    </row>
    <row r="68" spans="1:12" x14ac:dyDescent="0.25">
      <c r="A68">
        <v>5567</v>
      </c>
      <c r="B68">
        <v>3134</v>
      </c>
      <c r="C68" s="19">
        <v>46086.229202002316</v>
      </c>
      <c r="D68" t="s">
        <v>267</v>
      </c>
      <c r="E68">
        <v>1</v>
      </c>
      <c r="F68" t="s">
        <v>267</v>
      </c>
      <c r="G68" t="s">
        <v>267</v>
      </c>
      <c r="H68">
        <v>853</v>
      </c>
      <c r="I68">
        <v>0</v>
      </c>
      <c r="J68" t="s">
        <v>267</v>
      </c>
      <c r="K68" t="s">
        <v>267</v>
      </c>
      <c r="L68">
        <v>844</v>
      </c>
    </row>
    <row r="69" spans="1:12" x14ac:dyDescent="0.25">
      <c r="A69">
        <v>5568</v>
      </c>
      <c r="B69">
        <v>3134</v>
      </c>
      <c r="C69" s="19">
        <v>46086.229202002316</v>
      </c>
      <c r="D69" t="s">
        <v>267</v>
      </c>
      <c r="E69">
        <v>1</v>
      </c>
      <c r="F69" t="s">
        <v>267</v>
      </c>
      <c r="G69" t="s">
        <v>267</v>
      </c>
      <c r="H69">
        <v>10047</v>
      </c>
      <c r="I69">
        <v>0</v>
      </c>
      <c r="J69" t="s">
        <v>267</v>
      </c>
      <c r="K69" t="s">
        <v>267</v>
      </c>
      <c r="L69">
        <v>85</v>
      </c>
    </row>
    <row r="70" spans="1:12" x14ac:dyDescent="0.25">
      <c r="A70">
        <v>5572</v>
      </c>
      <c r="B70">
        <v>3134</v>
      </c>
      <c r="C70" s="19">
        <v>46086.562533877317</v>
      </c>
      <c r="D70" t="s">
        <v>267</v>
      </c>
      <c r="E70">
        <v>1</v>
      </c>
      <c r="F70" t="s">
        <v>267</v>
      </c>
      <c r="G70" t="s">
        <v>267</v>
      </c>
      <c r="H70">
        <v>6837</v>
      </c>
      <c r="I70">
        <v>0</v>
      </c>
      <c r="J70" t="s">
        <v>267</v>
      </c>
      <c r="K70" t="s">
        <v>267</v>
      </c>
      <c r="L70">
        <v>519</v>
      </c>
    </row>
    <row r="71" spans="1:12" x14ac:dyDescent="0.25">
      <c r="A71">
        <v>5573</v>
      </c>
      <c r="B71">
        <v>3134</v>
      </c>
      <c r="C71" s="19">
        <v>46086.562533877317</v>
      </c>
      <c r="D71" t="s">
        <v>267</v>
      </c>
      <c r="E71">
        <v>1</v>
      </c>
      <c r="F71" t="s">
        <v>267</v>
      </c>
      <c r="G71" t="s">
        <v>267</v>
      </c>
      <c r="H71">
        <v>10047</v>
      </c>
      <c r="I71">
        <v>0</v>
      </c>
      <c r="J71" t="s">
        <v>267</v>
      </c>
      <c r="K71" t="s">
        <v>267</v>
      </c>
      <c r="L71">
        <v>85</v>
      </c>
    </row>
    <row r="72" spans="1:12" x14ac:dyDescent="0.25">
      <c r="A72">
        <v>5580</v>
      </c>
      <c r="B72">
        <v>3134</v>
      </c>
      <c r="C72" s="19">
        <v>46087.229193865744</v>
      </c>
      <c r="D72" t="s">
        <v>267</v>
      </c>
      <c r="E72">
        <v>1</v>
      </c>
      <c r="F72" t="s">
        <v>267</v>
      </c>
      <c r="G72" t="s">
        <v>267</v>
      </c>
      <c r="H72">
        <v>718</v>
      </c>
      <c r="I72">
        <v>0</v>
      </c>
      <c r="J72" t="s">
        <v>267</v>
      </c>
      <c r="K72" t="s">
        <v>267</v>
      </c>
      <c r="L72">
        <v>184</v>
      </c>
    </row>
    <row r="73" spans="1:12" x14ac:dyDescent="0.25">
      <c r="A73">
        <v>5581</v>
      </c>
      <c r="B73">
        <v>3134</v>
      </c>
      <c r="C73" s="19">
        <v>46087.229193865744</v>
      </c>
      <c r="D73" t="s">
        <v>267</v>
      </c>
      <c r="E73">
        <v>1</v>
      </c>
      <c r="F73" t="s">
        <v>267</v>
      </c>
      <c r="G73" t="s">
        <v>267</v>
      </c>
      <c r="H73">
        <v>3288</v>
      </c>
      <c r="I73">
        <v>0</v>
      </c>
      <c r="J73" t="s">
        <v>267</v>
      </c>
      <c r="K73" t="s">
        <v>267</v>
      </c>
      <c r="L73">
        <v>1634</v>
      </c>
    </row>
    <row r="74" spans="1:12" x14ac:dyDescent="0.25">
      <c r="A74">
        <v>5582</v>
      </c>
      <c r="B74">
        <v>3134</v>
      </c>
      <c r="C74" s="19">
        <v>46087.229193865744</v>
      </c>
      <c r="D74" t="s">
        <v>267</v>
      </c>
      <c r="E74">
        <v>1</v>
      </c>
      <c r="F74" t="s">
        <v>267</v>
      </c>
      <c r="G74" t="s">
        <v>267</v>
      </c>
      <c r="H74">
        <v>4736</v>
      </c>
      <c r="I74">
        <v>0</v>
      </c>
      <c r="J74" t="s">
        <v>267</v>
      </c>
      <c r="K74" t="s">
        <v>267</v>
      </c>
      <c r="L74">
        <v>1897</v>
      </c>
    </row>
    <row r="75" spans="1:12" x14ac:dyDescent="0.25">
      <c r="A75">
        <v>5583</v>
      </c>
      <c r="B75">
        <v>3134</v>
      </c>
      <c r="C75" s="19">
        <v>46087.229193865744</v>
      </c>
      <c r="D75" t="s">
        <v>267</v>
      </c>
      <c r="E75">
        <v>1</v>
      </c>
      <c r="F75" t="s">
        <v>267</v>
      </c>
      <c r="G75" t="s">
        <v>267</v>
      </c>
      <c r="H75">
        <v>8302</v>
      </c>
      <c r="I75">
        <v>0</v>
      </c>
      <c r="J75" t="s">
        <v>267</v>
      </c>
      <c r="K75" t="s">
        <v>267</v>
      </c>
      <c r="L75">
        <v>1411</v>
      </c>
    </row>
    <row r="76" spans="1:12" x14ac:dyDescent="0.25">
      <c r="A76">
        <v>5584</v>
      </c>
      <c r="B76">
        <v>3134</v>
      </c>
      <c r="C76" s="19">
        <v>46087.229193865744</v>
      </c>
      <c r="D76" t="s">
        <v>267</v>
      </c>
      <c r="E76">
        <v>1</v>
      </c>
      <c r="F76" t="s">
        <v>267</v>
      </c>
      <c r="G76" t="s">
        <v>267</v>
      </c>
      <c r="H76">
        <v>10155</v>
      </c>
      <c r="I76">
        <v>0</v>
      </c>
      <c r="J76" t="s">
        <v>267</v>
      </c>
      <c r="K76" t="s">
        <v>267</v>
      </c>
      <c r="L76">
        <v>1431</v>
      </c>
    </row>
    <row r="77" spans="1:12" x14ac:dyDescent="0.25">
      <c r="A77">
        <v>5585</v>
      </c>
      <c r="B77">
        <v>3134</v>
      </c>
      <c r="C77" s="19">
        <v>46087.229205787036</v>
      </c>
      <c r="D77" t="s">
        <v>267</v>
      </c>
      <c r="E77">
        <v>1</v>
      </c>
      <c r="F77" t="s">
        <v>267</v>
      </c>
      <c r="G77" t="s">
        <v>267</v>
      </c>
      <c r="H77">
        <v>10017</v>
      </c>
      <c r="I77">
        <v>0</v>
      </c>
      <c r="J77" t="s">
        <v>267</v>
      </c>
      <c r="K77" t="s">
        <v>267</v>
      </c>
      <c r="L77">
        <v>258</v>
      </c>
    </row>
    <row r="78" spans="1:12" x14ac:dyDescent="0.25">
      <c r="A78">
        <v>5598</v>
      </c>
      <c r="B78">
        <v>3134</v>
      </c>
      <c r="C78" s="19">
        <v>46088.229200000002</v>
      </c>
      <c r="D78" t="s">
        <v>267</v>
      </c>
      <c r="E78">
        <v>1</v>
      </c>
      <c r="F78" t="s">
        <v>267</v>
      </c>
      <c r="G78" t="s">
        <v>267</v>
      </c>
      <c r="H78">
        <v>9843</v>
      </c>
      <c r="I78">
        <v>0</v>
      </c>
      <c r="J78" t="s">
        <v>267</v>
      </c>
      <c r="K78" t="s">
        <v>267</v>
      </c>
      <c r="L78">
        <v>2211</v>
      </c>
    </row>
    <row r="79" spans="1:12" x14ac:dyDescent="0.25">
      <c r="A79">
        <v>5600</v>
      </c>
      <c r="B79">
        <v>3134</v>
      </c>
      <c r="C79" s="19">
        <v>46090.562547071757</v>
      </c>
      <c r="D79" t="s">
        <v>267</v>
      </c>
      <c r="E79">
        <v>1</v>
      </c>
      <c r="F79" t="s">
        <v>267</v>
      </c>
      <c r="G79" t="s">
        <v>267</v>
      </c>
      <c r="H79">
        <v>3566</v>
      </c>
      <c r="I79">
        <v>0</v>
      </c>
      <c r="J79" t="s">
        <v>267</v>
      </c>
      <c r="K79" t="s">
        <v>267</v>
      </c>
      <c r="L79">
        <v>1684</v>
      </c>
    </row>
    <row r="80" spans="1:12" x14ac:dyDescent="0.25">
      <c r="A80">
        <v>5601</v>
      </c>
      <c r="B80">
        <v>3134</v>
      </c>
      <c r="C80" s="19">
        <v>46090.562547071757</v>
      </c>
      <c r="D80" t="s">
        <v>267</v>
      </c>
      <c r="E80">
        <v>1</v>
      </c>
      <c r="F80" t="s">
        <v>267</v>
      </c>
      <c r="G80" t="s">
        <v>267</v>
      </c>
      <c r="H80">
        <v>7552</v>
      </c>
      <c r="I80">
        <v>0</v>
      </c>
      <c r="J80" t="s">
        <v>267</v>
      </c>
      <c r="K80" t="s">
        <v>267</v>
      </c>
      <c r="L80">
        <v>2200</v>
      </c>
    </row>
    <row r="81" spans="1:12" x14ac:dyDescent="0.25">
      <c r="A81">
        <v>5602</v>
      </c>
      <c r="B81">
        <v>3134</v>
      </c>
      <c r="C81" s="19">
        <v>46090.562562766201</v>
      </c>
      <c r="D81" t="s">
        <v>267</v>
      </c>
      <c r="E81">
        <v>1</v>
      </c>
      <c r="F81" t="s">
        <v>267</v>
      </c>
      <c r="G81" t="s">
        <v>267</v>
      </c>
      <c r="H81">
        <v>4522</v>
      </c>
      <c r="I81">
        <v>0</v>
      </c>
      <c r="J81" t="s">
        <v>267</v>
      </c>
      <c r="K81" t="s">
        <v>267</v>
      </c>
      <c r="L81">
        <v>111</v>
      </c>
    </row>
    <row r="82" spans="1:12" x14ac:dyDescent="0.25">
      <c r="A82">
        <v>5604</v>
      </c>
      <c r="B82">
        <v>3134</v>
      </c>
      <c r="C82" s="19">
        <v>46091.22919189815</v>
      </c>
      <c r="D82" t="s">
        <v>267</v>
      </c>
      <c r="E82">
        <v>1</v>
      </c>
      <c r="F82" t="s">
        <v>267</v>
      </c>
      <c r="G82" t="s">
        <v>267</v>
      </c>
      <c r="H82">
        <v>7624</v>
      </c>
      <c r="I82">
        <v>0</v>
      </c>
      <c r="J82" t="s">
        <v>267</v>
      </c>
      <c r="K82" t="s">
        <v>267</v>
      </c>
      <c r="L82">
        <v>2216</v>
      </c>
    </row>
    <row r="83" spans="1:12" x14ac:dyDescent="0.25">
      <c r="A83">
        <v>5607</v>
      </c>
      <c r="B83">
        <v>3134</v>
      </c>
      <c r="C83" s="19">
        <v>46091.562535648147</v>
      </c>
      <c r="D83" t="s">
        <v>267</v>
      </c>
      <c r="E83">
        <v>1</v>
      </c>
      <c r="F83" t="s">
        <v>267</v>
      </c>
      <c r="G83" t="s">
        <v>267</v>
      </c>
      <c r="H83">
        <v>259</v>
      </c>
      <c r="I83">
        <v>0</v>
      </c>
      <c r="J83" t="s">
        <v>267</v>
      </c>
      <c r="K83" t="s">
        <v>267</v>
      </c>
      <c r="L83">
        <v>339</v>
      </c>
    </row>
    <row r="84" spans="1:12" x14ac:dyDescent="0.25">
      <c r="A84">
        <v>5608</v>
      </c>
      <c r="B84">
        <v>3134</v>
      </c>
      <c r="C84" s="19">
        <v>46091.562535648147</v>
      </c>
      <c r="D84" t="s">
        <v>267</v>
      </c>
      <c r="E84">
        <v>1</v>
      </c>
      <c r="F84" t="s">
        <v>267</v>
      </c>
      <c r="G84" t="s">
        <v>267</v>
      </c>
      <c r="H84">
        <v>589</v>
      </c>
      <c r="I84">
        <v>0</v>
      </c>
      <c r="J84" t="s">
        <v>267</v>
      </c>
      <c r="K84" t="s">
        <v>267</v>
      </c>
      <c r="L84">
        <v>622</v>
      </c>
    </row>
    <row r="85" spans="1:12" x14ac:dyDescent="0.25">
      <c r="A85">
        <v>5609</v>
      </c>
      <c r="B85">
        <v>3134</v>
      </c>
      <c r="C85" s="19">
        <v>46091.562535648147</v>
      </c>
      <c r="D85" t="s">
        <v>267</v>
      </c>
      <c r="E85">
        <v>1</v>
      </c>
      <c r="F85" t="s">
        <v>267</v>
      </c>
      <c r="G85" t="s">
        <v>267</v>
      </c>
      <c r="H85">
        <v>1301</v>
      </c>
      <c r="I85">
        <v>0</v>
      </c>
      <c r="J85" t="s">
        <v>267</v>
      </c>
      <c r="K85" t="s">
        <v>267</v>
      </c>
      <c r="L85">
        <v>1140</v>
      </c>
    </row>
    <row r="86" spans="1:12" x14ac:dyDescent="0.25">
      <c r="A86">
        <v>5610</v>
      </c>
      <c r="B86">
        <v>3134</v>
      </c>
      <c r="C86" s="19">
        <v>46091.562535648147</v>
      </c>
      <c r="D86" t="s">
        <v>267</v>
      </c>
      <c r="E86">
        <v>1</v>
      </c>
      <c r="F86" t="s">
        <v>267</v>
      </c>
      <c r="G86" t="s">
        <v>267</v>
      </c>
      <c r="H86">
        <v>6718</v>
      </c>
      <c r="I86">
        <v>0</v>
      </c>
      <c r="J86" t="s">
        <v>267</v>
      </c>
      <c r="K86" t="s">
        <v>267</v>
      </c>
      <c r="L86">
        <v>2079</v>
      </c>
    </row>
    <row r="87" spans="1:12" x14ac:dyDescent="0.25">
      <c r="A87">
        <v>5611</v>
      </c>
      <c r="B87">
        <v>3134</v>
      </c>
      <c r="C87" s="19">
        <v>46091.562535648147</v>
      </c>
      <c r="D87" t="s">
        <v>267</v>
      </c>
      <c r="E87">
        <v>1</v>
      </c>
      <c r="F87" t="s">
        <v>267</v>
      </c>
      <c r="G87" t="s">
        <v>267</v>
      </c>
      <c r="H87">
        <v>10017</v>
      </c>
      <c r="I87">
        <v>0</v>
      </c>
      <c r="J87" t="s">
        <v>267</v>
      </c>
      <c r="K87" t="s">
        <v>267</v>
      </c>
      <c r="L87">
        <v>258</v>
      </c>
    </row>
    <row r="88" spans="1:12" x14ac:dyDescent="0.25">
      <c r="A88">
        <v>5612</v>
      </c>
      <c r="B88">
        <v>3134</v>
      </c>
      <c r="C88" s="19">
        <v>46091.562551655094</v>
      </c>
      <c r="D88" t="s">
        <v>267</v>
      </c>
      <c r="E88">
        <v>1</v>
      </c>
      <c r="F88" t="s">
        <v>267</v>
      </c>
      <c r="G88" t="s">
        <v>267</v>
      </c>
      <c r="H88">
        <v>4878</v>
      </c>
      <c r="I88">
        <v>0</v>
      </c>
      <c r="J88" t="s">
        <v>267</v>
      </c>
      <c r="K88" t="s">
        <v>267</v>
      </c>
      <c r="L88">
        <v>1917</v>
      </c>
    </row>
    <row r="89" spans="1:12" x14ac:dyDescent="0.25">
      <c r="A89">
        <v>5613</v>
      </c>
      <c r="B89">
        <v>3134</v>
      </c>
      <c r="C89" s="19">
        <v>46091.562551655094</v>
      </c>
      <c r="D89" t="s">
        <v>267</v>
      </c>
      <c r="E89">
        <v>1</v>
      </c>
      <c r="F89" t="s">
        <v>267</v>
      </c>
      <c r="G89" t="s">
        <v>267</v>
      </c>
      <c r="H89">
        <v>10017</v>
      </c>
      <c r="I89">
        <v>0</v>
      </c>
      <c r="J89" t="s">
        <v>267</v>
      </c>
      <c r="K89" t="s">
        <v>267</v>
      </c>
      <c r="L89">
        <v>258</v>
      </c>
    </row>
    <row r="90" spans="1:12" x14ac:dyDescent="0.25">
      <c r="A90">
        <v>5616</v>
      </c>
      <c r="B90">
        <v>3134</v>
      </c>
      <c r="C90" s="19">
        <v>46092.229202696763</v>
      </c>
      <c r="D90" t="s">
        <v>267</v>
      </c>
      <c r="E90">
        <v>1</v>
      </c>
      <c r="F90" t="s">
        <v>267</v>
      </c>
      <c r="G90" t="s">
        <v>267</v>
      </c>
      <c r="H90">
        <v>3787</v>
      </c>
      <c r="I90">
        <v>0</v>
      </c>
      <c r="J90" t="s">
        <v>267</v>
      </c>
      <c r="K90" t="s">
        <v>267</v>
      </c>
      <c r="L90">
        <v>1729</v>
      </c>
    </row>
    <row r="91" spans="1:12" x14ac:dyDescent="0.25">
      <c r="A91">
        <v>5617</v>
      </c>
      <c r="B91">
        <v>3134</v>
      </c>
      <c r="C91" s="19">
        <v>46092.229202696763</v>
      </c>
      <c r="D91" t="s">
        <v>267</v>
      </c>
      <c r="E91">
        <v>1</v>
      </c>
      <c r="F91" t="s">
        <v>267</v>
      </c>
      <c r="G91" t="s">
        <v>267</v>
      </c>
      <c r="H91">
        <v>6833</v>
      </c>
      <c r="I91">
        <v>0</v>
      </c>
      <c r="J91" t="s">
        <v>267</v>
      </c>
      <c r="K91" t="s">
        <v>267</v>
      </c>
      <c r="L91">
        <v>2090</v>
      </c>
    </row>
    <row r="92" spans="1:12" x14ac:dyDescent="0.25">
      <c r="A92">
        <v>5627</v>
      </c>
      <c r="B92">
        <v>3134</v>
      </c>
      <c r="C92" s="19">
        <v>46093.229197337962</v>
      </c>
      <c r="D92" t="s">
        <v>267</v>
      </c>
      <c r="E92">
        <v>1</v>
      </c>
      <c r="F92" t="s">
        <v>267</v>
      </c>
      <c r="G92" t="s">
        <v>267</v>
      </c>
      <c r="H92">
        <v>4874</v>
      </c>
      <c r="I92">
        <v>0</v>
      </c>
      <c r="J92" t="s">
        <v>267</v>
      </c>
      <c r="K92" t="s">
        <v>267</v>
      </c>
      <c r="L92">
        <v>1916</v>
      </c>
    </row>
    <row r="93" spans="1:12" x14ac:dyDescent="0.25">
      <c r="A93">
        <v>5628</v>
      </c>
      <c r="B93">
        <v>3134</v>
      </c>
      <c r="C93" s="19">
        <v>46093.56259922454</v>
      </c>
      <c r="D93" t="s">
        <v>267</v>
      </c>
      <c r="E93">
        <v>1</v>
      </c>
      <c r="F93" t="s">
        <v>267</v>
      </c>
      <c r="G93" t="s">
        <v>267</v>
      </c>
      <c r="H93">
        <v>4878</v>
      </c>
      <c r="I93">
        <v>441499</v>
      </c>
      <c r="J93" t="s">
        <v>267</v>
      </c>
      <c r="K93" t="s">
        <v>267</v>
      </c>
      <c r="L93">
        <v>1917</v>
      </c>
    </row>
    <row r="94" spans="1:12" x14ac:dyDescent="0.25">
      <c r="A94">
        <v>5629</v>
      </c>
      <c r="B94">
        <v>3134</v>
      </c>
      <c r="C94" s="19">
        <v>46093.56259922454</v>
      </c>
      <c r="D94" t="s">
        <v>267</v>
      </c>
      <c r="E94">
        <v>1</v>
      </c>
      <c r="F94" t="s">
        <v>267</v>
      </c>
      <c r="G94" t="s">
        <v>267</v>
      </c>
      <c r="H94">
        <v>9984</v>
      </c>
      <c r="I94">
        <v>441505</v>
      </c>
      <c r="J94" t="s">
        <v>267</v>
      </c>
      <c r="K94" t="s">
        <v>267</v>
      </c>
      <c r="L94">
        <v>2400</v>
      </c>
    </row>
    <row r="95" spans="1:12" x14ac:dyDescent="0.25">
      <c r="A95">
        <v>5630</v>
      </c>
      <c r="B95">
        <v>3134</v>
      </c>
      <c r="C95" s="19">
        <v>46093.562619872682</v>
      </c>
      <c r="D95" t="s">
        <v>267</v>
      </c>
      <c r="E95">
        <v>1</v>
      </c>
      <c r="F95" t="s">
        <v>267</v>
      </c>
      <c r="G95" t="s">
        <v>267</v>
      </c>
      <c r="H95">
        <v>4878</v>
      </c>
      <c r="I95">
        <v>441497</v>
      </c>
      <c r="J95" t="s">
        <v>267</v>
      </c>
      <c r="K95" t="s">
        <v>267</v>
      </c>
      <c r="L95">
        <v>1917</v>
      </c>
    </row>
    <row r="96" spans="1:12" x14ac:dyDescent="0.25">
      <c r="A96">
        <v>5631</v>
      </c>
      <c r="B96">
        <v>3134</v>
      </c>
      <c r="C96" s="19">
        <v>46094.229203854164</v>
      </c>
      <c r="D96" t="s">
        <v>267</v>
      </c>
      <c r="E96">
        <v>1</v>
      </c>
      <c r="F96" t="s">
        <v>267</v>
      </c>
      <c r="G96" t="s">
        <v>267</v>
      </c>
      <c r="H96">
        <v>41</v>
      </c>
      <c r="I96">
        <v>441545</v>
      </c>
      <c r="J96" t="s">
        <v>267</v>
      </c>
      <c r="K96" t="s">
        <v>267</v>
      </c>
      <c r="L96">
        <v>50</v>
      </c>
    </row>
    <row r="97" spans="1:12" x14ac:dyDescent="0.25">
      <c r="A97">
        <v>5632</v>
      </c>
      <c r="B97">
        <v>3134</v>
      </c>
      <c r="C97" s="19">
        <v>46094.229203854164</v>
      </c>
      <c r="D97" t="s">
        <v>267</v>
      </c>
      <c r="E97">
        <v>1</v>
      </c>
      <c r="F97" t="s">
        <v>267</v>
      </c>
      <c r="G97" t="s">
        <v>267</v>
      </c>
      <c r="H97">
        <v>4902</v>
      </c>
      <c r="I97">
        <v>441530</v>
      </c>
      <c r="J97" t="s">
        <v>267</v>
      </c>
      <c r="K97" t="s">
        <v>267</v>
      </c>
      <c r="L97">
        <v>680</v>
      </c>
    </row>
    <row r="98" spans="1:12" x14ac:dyDescent="0.25">
      <c r="A98">
        <v>5633</v>
      </c>
      <c r="B98">
        <v>3134</v>
      </c>
      <c r="C98" s="19">
        <v>46094.229203854164</v>
      </c>
      <c r="D98" t="s">
        <v>267</v>
      </c>
      <c r="E98">
        <v>1</v>
      </c>
      <c r="F98" t="s">
        <v>267</v>
      </c>
      <c r="G98" t="s">
        <v>267</v>
      </c>
      <c r="H98">
        <v>8431</v>
      </c>
      <c r="I98">
        <v>440892</v>
      </c>
      <c r="J98" t="s">
        <v>267</v>
      </c>
      <c r="K98" t="s">
        <v>267</v>
      </c>
      <c r="L98">
        <v>2368</v>
      </c>
    </row>
    <row r="99" spans="1:12" x14ac:dyDescent="0.25">
      <c r="A99">
        <v>5634</v>
      </c>
      <c r="B99">
        <v>3134</v>
      </c>
      <c r="C99" s="19">
        <v>46094.229203854164</v>
      </c>
      <c r="D99" t="s">
        <v>267</v>
      </c>
      <c r="E99">
        <v>1</v>
      </c>
      <c r="F99" t="s">
        <v>267</v>
      </c>
      <c r="G99" t="s">
        <v>267</v>
      </c>
      <c r="H99">
        <v>10217</v>
      </c>
      <c r="I99">
        <v>441535</v>
      </c>
      <c r="J99" t="s">
        <v>267</v>
      </c>
      <c r="K99" t="s">
        <v>267</v>
      </c>
      <c r="L99">
        <v>76</v>
      </c>
    </row>
    <row r="100" spans="1:12" x14ac:dyDescent="0.25">
      <c r="A100">
        <v>5635</v>
      </c>
      <c r="B100">
        <v>3134</v>
      </c>
      <c r="C100" s="19">
        <v>46094.229216122687</v>
      </c>
      <c r="D100" t="s">
        <v>267</v>
      </c>
      <c r="E100">
        <v>1</v>
      </c>
      <c r="F100" t="s">
        <v>267</v>
      </c>
      <c r="G100" t="s">
        <v>267</v>
      </c>
      <c r="H100">
        <v>4902</v>
      </c>
      <c r="I100">
        <v>441529</v>
      </c>
      <c r="J100" t="s">
        <v>267</v>
      </c>
      <c r="K100" t="s">
        <v>267</v>
      </c>
      <c r="L100">
        <v>680</v>
      </c>
    </row>
    <row r="101" spans="1:12" x14ac:dyDescent="0.25">
      <c r="A101">
        <v>5636</v>
      </c>
      <c r="B101">
        <v>3134</v>
      </c>
      <c r="C101" s="19">
        <v>46094.229216122687</v>
      </c>
      <c r="D101" t="s">
        <v>267</v>
      </c>
      <c r="E101">
        <v>1</v>
      </c>
      <c r="F101" t="s">
        <v>267</v>
      </c>
      <c r="G101" t="s">
        <v>267</v>
      </c>
      <c r="H101">
        <v>8431</v>
      </c>
      <c r="I101">
        <v>440933</v>
      </c>
      <c r="J101" t="s">
        <v>267</v>
      </c>
      <c r="K101" t="s">
        <v>267</v>
      </c>
      <c r="L101">
        <v>2368</v>
      </c>
    </row>
    <row r="102" spans="1:12" x14ac:dyDescent="0.25">
      <c r="A102">
        <v>5637</v>
      </c>
      <c r="B102">
        <v>3134</v>
      </c>
      <c r="C102" s="19">
        <v>46094.229216122687</v>
      </c>
      <c r="D102" t="s">
        <v>267</v>
      </c>
      <c r="E102">
        <v>1</v>
      </c>
      <c r="F102" t="s">
        <v>267</v>
      </c>
      <c r="G102" t="s">
        <v>267</v>
      </c>
      <c r="H102">
        <v>8431</v>
      </c>
      <c r="I102">
        <v>440936</v>
      </c>
      <c r="J102" t="s">
        <v>267</v>
      </c>
      <c r="K102" t="s">
        <v>267</v>
      </c>
      <c r="L102">
        <v>2368</v>
      </c>
    </row>
    <row r="103" spans="1:12" x14ac:dyDescent="0.25">
      <c r="A103">
        <v>5638</v>
      </c>
      <c r="B103">
        <v>3134</v>
      </c>
      <c r="C103" s="19">
        <v>46094.229238807871</v>
      </c>
      <c r="D103" t="s">
        <v>267</v>
      </c>
      <c r="E103">
        <v>1</v>
      </c>
      <c r="F103" t="s">
        <v>267</v>
      </c>
      <c r="G103" t="s">
        <v>267</v>
      </c>
      <c r="H103">
        <v>8431</v>
      </c>
      <c r="I103">
        <v>440932</v>
      </c>
      <c r="J103" t="s">
        <v>267</v>
      </c>
      <c r="K103" t="s">
        <v>267</v>
      </c>
      <c r="L103">
        <v>2368</v>
      </c>
    </row>
    <row r="104" spans="1:12" x14ac:dyDescent="0.25">
      <c r="A104">
        <v>5656</v>
      </c>
      <c r="B104">
        <v>3134</v>
      </c>
      <c r="C104" s="19">
        <v>46094.562599965277</v>
      </c>
      <c r="D104" t="s">
        <v>267</v>
      </c>
      <c r="E104">
        <v>1</v>
      </c>
      <c r="F104" t="s">
        <v>267</v>
      </c>
      <c r="G104" t="s">
        <v>267</v>
      </c>
      <c r="H104">
        <v>853</v>
      </c>
      <c r="I104">
        <v>441602</v>
      </c>
      <c r="J104" t="s">
        <v>267</v>
      </c>
      <c r="K104" t="s">
        <v>267</v>
      </c>
      <c r="L104">
        <v>844</v>
      </c>
    </row>
    <row r="105" spans="1:12" x14ac:dyDescent="0.25">
      <c r="A105">
        <v>5657</v>
      </c>
      <c r="B105">
        <v>3134</v>
      </c>
      <c r="C105" s="19">
        <v>46094.562599965277</v>
      </c>
      <c r="D105" t="s">
        <v>267</v>
      </c>
      <c r="E105">
        <v>1</v>
      </c>
      <c r="F105" t="s">
        <v>267</v>
      </c>
      <c r="G105" t="s">
        <v>267</v>
      </c>
      <c r="H105">
        <v>7155</v>
      </c>
      <c r="I105">
        <v>441581</v>
      </c>
      <c r="J105" t="s">
        <v>267</v>
      </c>
      <c r="K105" t="s">
        <v>267</v>
      </c>
      <c r="L105">
        <v>2133</v>
      </c>
    </row>
    <row r="106" spans="1:12" x14ac:dyDescent="0.25">
      <c r="A106">
        <v>5679</v>
      </c>
      <c r="B106">
        <v>3134</v>
      </c>
      <c r="C106" s="19">
        <v>46095.229204780095</v>
      </c>
      <c r="D106" t="s">
        <v>267</v>
      </c>
      <c r="E106">
        <v>1</v>
      </c>
      <c r="F106" t="s">
        <v>267</v>
      </c>
      <c r="G106" t="s">
        <v>267</v>
      </c>
      <c r="H106">
        <v>2017</v>
      </c>
      <c r="I106">
        <v>441645</v>
      </c>
      <c r="J106" t="s">
        <v>267</v>
      </c>
      <c r="K106" t="s">
        <v>267</v>
      </c>
      <c r="L106">
        <v>1455</v>
      </c>
    </row>
    <row r="107" spans="1:12" x14ac:dyDescent="0.25">
      <c r="A107">
        <v>5691</v>
      </c>
      <c r="B107">
        <v>3134</v>
      </c>
      <c r="C107" s="19">
        <v>46097.562531481482</v>
      </c>
      <c r="D107" t="s">
        <v>267</v>
      </c>
      <c r="E107">
        <v>1</v>
      </c>
      <c r="F107" t="s">
        <v>267</v>
      </c>
      <c r="G107" t="s">
        <v>267</v>
      </c>
      <c r="H107">
        <v>793</v>
      </c>
      <c r="I107">
        <v>441675</v>
      </c>
      <c r="J107" t="s">
        <v>267</v>
      </c>
      <c r="K107" t="s">
        <v>267</v>
      </c>
      <c r="L107">
        <v>798</v>
      </c>
    </row>
    <row r="108" spans="1:12" x14ac:dyDescent="0.25">
      <c r="A108">
        <v>5692</v>
      </c>
      <c r="B108">
        <v>3134</v>
      </c>
      <c r="C108" s="19">
        <v>46097.562531481482</v>
      </c>
      <c r="D108" t="s">
        <v>267</v>
      </c>
      <c r="E108">
        <v>1</v>
      </c>
      <c r="F108" t="s">
        <v>267</v>
      </c>
      <c r="G108" t="s">
        <v>267</v>
      </c>
      <c r="H108">
        <v>1264</v>
      </c>
      <c r="I108">
        <v>441701</v>
      </c>
      <c r="J108" t="s">
        <v>267</v>
      </c>
      <c r="K108" t="s">
        <v>267</v>
      </c>
      <c r="L108">
        <v>631</v>
      </c>
    </row>
    <row r="109" spans="1:12" x14ac:dyDescent="0.25">
      <c r="A109">
        <v>5707</v>
      </c>
      <c r="B109">
        <v>3134</v>
      </c>
      <c r="C109" s="19">
        <v>46099.229197534725</v>
      </c>
      <c r="D109" t="s">
        <v>267</v>
      </c>
      <c r="E109">
        <v>1</v>
      </c>
      <c r="F109" t="s">
        <v>267</v>
      </c>
      <c r="G109" t="s">
        <v>267</v>
      </c>
      <c r="H109">
        <v>1010</v>
      </c>
      <c r="I109">
        <v>441793</v>
      </c>
      <c r="J109" t="s">
        <v>267</v>
      </c>
      <c r="K109" t="s">
        <v>267</v>
      </c>
      <c r="L109">
        <v>955</v>
      </c>
    </row>
    <row r="110" spans="1:12" x14ac:dyDescent="0.25">
      <c r="A110">
        <v>5708</v>
      </c>
      <c r="B110">
        <v>3134</v>
      </c>
      <c r="C110" s="19">
        <v>46099.229197534725</v>
      </c>
      <c r="D110" t="s">
        <v>267</v>
      </c>
      <c r="E110">
        <v>1</v>
      </c>
      <c r="F110" t="s">
        <v>267</v>
      </c>
      <c r="G110" t="s">
        <v>267</v>
      </c>
      <c r="H110">
        <v>2017</v>
      </c>
      <c r="I110">
        <v>441788</v>
      </c>
      <c r="J110" t="s">
        <v>267</v>
      </c>
      <c r="K110" t="s">
        <v>267</v>
      </c>
      <c r="L110">
        <v>1455</v>
      </c>
    </row>
    <row r="111" spans="1:12" x14ac:dyDescent="0.25">
      <c r="A111">
        <v>5709</v>
      </c>
      <c r="B111">
        <v>3134</v>
      </c>
      <c r="C111" s="19">
        <v>46099.229197534725</v>
      </c>
      <c r="D111" t="s">
        <v>267</v>
      </c>
      <c r="E111">
        <v>1</v>
      </c>
      <c r="F111" t="s">
        <v>267</v>
      </c>
      <c r="G111" t="s">
        <v>267</v>
      </c>
      <c r="H111">
        <v>3732</v>
      </c>
      <c r="I111">
        <v>441792</v>
      </c>
      <c r="J111" t="s">
        <v>267</v>
      </c>
      <c r="K111" t="s">
        <v>267</v>
      </c>
      <c r="L111">
        <v>1701</v>
      </c>
    </row>
    <row r="112" spans="1:12" x14ac:dyDescent="0.25">
      <c r="A112">
        <v>5710</v>
      </c>
      <c r="B112">
        <v>3134</v>
      </c>
      <c r="C112" s="19">
        <v>46099.229197534725</v>
      </c>
      <c r="D112" t="s">
        <v>267</v>
      </c>
      <c r="E112">
        <v>1</v>
      </c>
      <c r="F112" t="s">
        <v>267</v>
      </c>
      <c r="G112" t="s">
        <v>267</v>
      </c>
      <c r="H112">
        <v>7887</v>
      </c>
      <c r="I112">
        <v>441811</v>
      </c>
      <c r="J112" t="s">
        <v>267</v>
      </c>
      <c r="K112" t="s">
        <v>267</v>
      </c>
      <c r="L112">
        <v>2264</v>
      </c>
    </row>
    <row r="113" spans="1:12" x14ac:dyDescent="0.25">
      <c r="A113">
        <v>5711</v>
      </c>
      <c r="B113">
        <v>3134</v>
      </c>
      <c r="C113" s="19">
        <v>46099.229209108795</v>
      </c>
      <c r="D113" t="s">
        <v>267</v>
      </c>
      <c r="E113">
        <v>1</v>
      </c>
      <c r="F113" t="s">
        <v>267</v>
      </c>
      <c r="G113" t="s">
        <v>267</v>
      </c>
      <c r="H113">
        <v>2017</v>
      </c>
      <c r="I113">
        <v>441645</v>
      </c>
      <c r="J113" t="s">
        <v>267</v>
      </c>
      <c r="K113" t="s">
        <v>267</v>
      </c>
      <c r="L113">
        <v>1455</v>
      </c>
    </row>
    <row r="114" spans="1:12" x14ac:dyDescent="0.25">
      <c r="A114">
        <v>5712</v>
      </c>
      <c r="B114">
        <v>3134</v>
      </c>
      <c r="C114" s="19">
        <v>46099.229209108795</v>
      </c>
      <c r="D114" t="s">
        <v>267</v>
      </c>
      <c r="E114">
        <v>1</v>
      </c>
      <c r="F114" t="s">
        <v>267</v>
      </c>
      <c r="G114" t="s">
        <v>267</v>
      </c>
      <c r="H114">
        <v>2017</v>
      </c>
      <c r="I114">
        <v>441787</v>
      </c>
      <c r="J114" t="s">
        <v>267</v>
      </c>
      <c r="K114" t="s">
        <v>267</v>
      </c>
      <c r="L114">
        <v>1455</v>
      </c>
    </row>
    <row r="115" spans="1:12" x14ac:dyDescent="0.25">
      <c r="A115">
        <v>5713</v>
      </c>
      <c r="B115">
        <v>3134</v>
      </c>
      <c r="C115" s="19">
        <v>46099.229209108795</v>
      </c>
      <c r="D115" t="s">
        <v>267</v>
      </c>
      <c r="E115">
        <v>1</v>
      </c>
      <c r="F115" t="s">
        <v>267</v>
      </c>
      <c r="G115" t="s">
        <v>267</v>
      </c>
      <c r="H115">
        <v>10103</v>
      </c>
      <c r="I115">
        <v>441785</v>
      </c>
      <c r="J115" t="s">
        <v>267</v>
      </c>
      <c r="K115" t="s">
        <v>267</v>
      </c>
      <c r="L115">
        <v>1841</v>
      </c>
    </row>
    <row r="116" spans="1:12" x14ac:dyDescent="0.25">
      <c r="A116">
        <v>5715</v>
      </c>
      <c r="B116">
        <v>3134</v>
      </c>
      <c r="C116" s="19">
        <v>46099.427116006947</v>
      </c>
      <c r="D116" t="s">
        <v>267</v>
      </c>
      <c r="E116">
        <v>1</v>
      </c>
      <c r="F116" t="s">
        <v>267</v>
      </c>
      <c r="G116" t="s">
        <v>267</v>
      </c>
      <c r="H116">
        <v>9789</v>
      </c>
      <c r="I116">
        <v>440209</v>
      </c>
      <c r="J116" t="s">
        <v>267</v>
      </c>
      <c r="K116" t="s">
        <v>267</v>
      </c>
      <c r="L116">
        <v>908</v>
      </c>
    </row>
    <row r="117" spans="1:12" x14ac:dyDescent="0.25">
      <c r="A117">
        <v>5716</v>
      </c>
      <c r="B117">
        <v>3134</v>
      </c>
      <c r="C117" s="19">
        <v>46099.427116006947</v>
      </c>
      <c r="D117" t="s">
        <v>267</v>
      </c>
      <c r="E117">
        <v>1</v>
      </c>
      <c r="F117" t="s">
        <v>267</v>
      </c>
      <c r="G117" t="s">
        <v>267</v>
      </c>
      <c r="H117">
        <v>3880</v>
      </c>
      <c r="I117">
        <v>441823</v>
      </c>
      <c r="J117" t="s">
        <v>267</v>
      </c>
      <c r="K117" t="s">
        <v>267</v>
      </c>
      <c r="L117">
        <v>1169</v>
      </c>
    </row>
    <row r="118" spans="1:12" x14ac:dyDescent="0.25">
      <c r="A118">
        <v>5717</v>
      </c>
      <c r="B118">
        <v>3134</v>
      </c>
      <c r="C118" s="19">
        <v>46099.447945601853</v>
      </c>
      <c r="D118" t="s">
        <v>267</v>
      </c>
      <c r="E118">
        <v>1</v>
      </c>
      <c r="F118" t="s">
        <v>267</v>
      </c>
      <c r="G118" t="s">
        <v>267</v>
      </c>
      <c r="H118">
        <v>1632</v>
      </c>
      <c r="I118">
        <v>441832</v>
      </c>
      <c r="J118" t="s">
        <v>267</v>
      </c>
      <c r="K118" t="s">
        <v>267</v>
      </c>
      <c r="L118">
        <v>439</v>
      </c>
    </row>
    <row r="119" spans="1:12" x14ac:dyDescent="0.25">
      <c r="A119">
        <v>5732</v>
      </c>
      <c r="B119">
        <v>3134</v>
      </c>
      <c r="C119" s="19">
        <v>46099.523636608799</v>
      </c>
      <c r="D119" t="s">
        <v>267</v>
      </c>
      <c r="E119">
        <v>1</v>
      </c>
      <c r="F119" t="s">
        <v>267</v>
      </c>
      <c r="G119" t="s">
        <v>267</v>
      </c>
      <c r="H119">
        <v>8026</v>
      </c>
      <c r="I119">
        <v>441851</v>
      </c>
      <c r="J119" t="s">
        <v>267</v>
      </c>
      <c r="K119" t="s">
        <v>267</v>
      </c>
      <c r="L119">
        <v>2293</v>
      </c>
    </row>
    <row r="120" spans="1:12" x14ac:dyDescent="0.25">
      <c r="A120">
        <v>5733</v>
      </c>
      <c r="B120">
        <v>3134</v>
      </c>
      <c r="C120" s="19">
        <v>46099.565305821758</v>
      </c>
      <c r="D120" t="s">
        <v>267</v>
      </c>
      <c r="E120">
        <v>1</v>
      </c>
      <c r="F120" t="s">
        <v>267</v>
      </c>
      <c r="G120" t="s">
        <v>267</v>
      </c>
      <c r="H120">
        <v>384</v>
      </c>
      <c r="I120">
        <v>441865</v>
      </c>
      <c r="J120" t="s">
        <v>267</v>
      </c>
      <c r="K120" t="s">
        <v>267</v>
      </c>
      <c r="L120">
        <v>442</v>
      </c>
    </row>
    <row r="121" spans="1:12" x14ac:dyDescent="0.25">
      <c r="A121">
        <v>5734</v>
      </c>
      <c r="B121">
        <v>3134</v>
      </c>
      <c r="C121" s="19">
        <v>46099.565305821758</v>
      </c>
      <c r="D121" t="s">
        <v>267</v>
      </c>
      <c r="E121">
        <v>1</v>
      </c>
      <c r="F121" t="s">
        <v>267</v>
      </c>
      <c r="G121" t="s">
        <v>267</v>
      </c>
      <c r="H121">
        <v>833</v>
      </c>
      <c r="I121">
        <v>441866</v>
      </c>
      <c r="J121" t="s">
        <v>267</v>
      </c>
      <c r="K121" t="s">
        <v>267</v>
      </c>
      <c r="L121">
        <v>312</v>
      </c>
    </row>
    <row r="122" spans="1:12" x14ac:dyDescent="0.25">
      <c r="A122">
        <v>5752</v>
      </c>
      <c r="B122">
        <v>3134</v>
      </c>
      <c r="C122" s="19">
        <v>46100.46878333333</v>
      </c>
      <c r="D122" t="s">
        <v>267</v>
      </c>
      <c r="E122">
        <v>1</v>
      </c>
      <c r="F122" t="s">
        <v>267</v>
      </c>
      <c r="G122" t="s">
        <v>267</v>
      </c>
      <c r="H122">
        <v>10185</v>
      </c>
      <c r="I122">
        <v>441913</v>
      </c>
      <c r="J122" t="s">
        <v>267</v>
      </c>
      <c r="K122" t="s">
        <v>267</v>
      </c>
      <c r="L122">
        <v>1057</v>
      </c>
    </row>
    <row r="123" spans="1:12" x14ac:dyDescent="0.25">
      <c r="A123">
        <v>5753</v>
      </c>
      <c r="B123">
        <v>3134</v>
      </c>
      <c r="C123" s="19">
        <v>46100.468795717592</v>
      </c>
      <c r="D123" t="s">
        <v>267</v>
      </c>
      <c r="E123">
        <v>1</v>
      </c>
      <c r="F123" t="s">
        <v>267</v>
      </c>
      <c r="G123" t="s">
        <v>267</v>
      </c>
      <c r="H123">
        <v>10185</v>
      </c>
      <c r="I123">
        <v>441912</v>
      </c>
      <c r="J123" t="s">
        <v>267</v>
      </c>
      <c r="K123" t="s">
        <v>267</v>
      </c>
      <c r="L123">
        <v>1057</v>
      </c>
    </row>
    <row r="124" spans="1:12" x14ac:dyDescent="0.25">
      <c r="A124">
        <v>5754</v>
      </c>
      <c r="B124">
        <v>3134</v>
      </c>
      <c r="C124" s="19">
        <v>46100.489619247688</v>
      </c>
      <c r="D124" t="s">
        <v>267</v>
      </c>
      <c r="E124">
        <v>1</v>
      </c>
      <c r="F124" t="s">
        <v>267</v>
      </c>
      <c r="G124" t="s">
        <v>267</v>
      </c>
      <c r="H124">
        <v>8431</v>
      </c>
      <c r="I124">
        <v>440933</v>
      </c>
      <c r="J124" t="s">
        <v>267</v>
      </c>
      <c r="K124" t="s">
        <v>267</v>
      </c>
      <c r="L124">
        <v>2368</v>
      </c>
    </row>
    <row r="125" spans="1:12" x14ac:dyDescent="0.25">
      <c r="A125">
        <v>5755</v>
      </c>
      <c r="B125">
        <v>3134</v>
      </c>
      <c r="C125" s="19">
        <v>46100.489619247688</v>
      </c>
      <c r="D125" t="s">
        <v>267</v>
      </c>
      <c r="E125">
        <v>1</v>
      </c>
      <c r="F125" t="s">
        <v>267</v>
      </c>
      <c r="G125" t="s">
        <v>267</v>
      </c>
      <c r="H125">
        <v>8431</v>
      </c>
      <c r="I125">
        <v>440936</v>
      </c>
      <c r="J125" t="s">
        <v>267</v>
      </c>
      <c r="K125" t="s">
        <v>267</v>
      </c>
      <c r="L125">
        <v>2368</v>
      </c>
    </row>
    <row r="126" spans="1:12" x14ac:dyDescent="0.25">
      <c r="A126">
        <v>5756</v>
      </c>
      <c r="B126">
        <v>3134</v>
      </c>
      <c r="C126" s="19">
        <v>46100.510445023145</v>
      </c>
      <c r="D126" t="s">
        <v>267</v>
      </c>
      <c r="E126">
        <v>1</v>
      </c>
      <c r="F126" t="s">
        <v>267</v>
      </c>
      <c r="G126" t="s">
        <v>267</v>
      </c>
      <c r="H126">
        <v>8431</v>
      </c>
      <c r="I126">
        <v>440892</v>
      </c>
      <c r="J126" t="s">
        <v>267</v>
      </c>
      <c r="K126" t="s">
        <v>267</v>
      </c>
      <c r="L126">
        <v>2368</v>
      </c>
    </row>
    <row r="127" spans="1:12" x14ac:dyDescent="0.25">
      <c r="A127">
        <v>5757</v>
      </c>
      <c r="B127">
        <v>3134</v>
      </c>
      <c r="C127" s="19">
        <v>46100.510457025463</v>
      </c>
      <c r="D127" t="s">
        <v>267</v>
      </c>
      <c r="E127">
        <v>1</v>
      </c>
      <c r="F127" t="s">
        <v>267</v>
      </c>
      <c r="G127" t="s">
        <v>267</v>
      </c>
      <c r="H127">
        <v>8431</v>
      </c>
      <c r="I127">
        <v>440936</v>
      </c>
      <c r="J127" t="s">
        <v>267</v>
      </c>
      <c r="K127" t="s">
        <v>267</v>
      </c>
      <c r="L127">
        <v>2368</v>
      </c>
    </row>
    <row r="128" spans="1:12" x14ac:dyDescent="0.25">
      <c r="A128">
        <v>5758</v>
      </c>
      <c r="B128">
        <v>3134</v>
      </c>
      <c r="C128" s="19">
        <v>46100.51047966435</v>
      </c>
      <c r="D128" t="s">
        <v>267</v>
      </c>
      <c r="E128">
        <v>1</v>
      </c>
      <c r="F128" t="s">
        <v>267</v>
      </c>
      <c r="G128" t="s">
        <v>267</v>
      </c>
      <c r="H128">
        <v>2679</v>
      </c>
      <c r="I128">
        <v>441923</v>
      </c>
      <c r="J128" t="s">
        <v>267</v>
      </c>
      <c r="K128" t="s">
        <v>267</v>
      </c>
      <c r="L128">
        <v>185</v>
      </c>
    </row>
    <row r="129" spans="1:12" x14ac:dyDescent="0.25">
      <c r="A129">
        <v>5759</v>
      </c>
      <c r="B129">
        <v>3134</v>
      </c>
      <c r="C129" s="19">
        <v>46100.531319062502</v>
      </c>
      <c r="D129" t="s">
        <v>267</v>
      </c>
      <c r="E129">
        <v>1</v>
      </c>
      <c r="F129" t="s">
        <v>267</v>
      </c>
      <c r="G129" t="s">
        <v>267</v>
      </c>
      <c r="H129">
        <v>4612</v>
      </c>
      <c r="I129">
        <v>439790</v>
      </c>
      <c r="J129" t="s">
        <v>267</v>
      </c>
      <c r="K129" t="s">
        <v>267</v>
      </c>
      <c r="L129">
        <v>821</v>
      </c>
    </row>
    <row r="130" spans="1:12" x14ac:dyDescent="0.25">
      <c r="A130">
        <v>5760</v>
      </c>
      <c r="B130">
        <v>3134</v>
      </c>
      <c r="C130" s="19">
        <v>46100.531319062502</v>
      </c>
      <c r="D130" t="s">
        <v>267</v>
      </c>
      <c r="E130">
        <v>1</v>
      </c>
      <c r="F130" t="s">
        <v>267</v>
      </c>
      <c r="G130" t="s">
        <v>267</v>
      </c>
      <c r="H130">
        <v>8431</v>
      </c>
      <c r="I130">
        <v>440892</v>
      </c>
      <c r="J130" t="s">
        <v>267</v>
      </c>
      <c r="K130" t="s">
        <v>267</v>
      </c>
      <c r="L130">
        <v>2368</v>
      </c>
    </row>
    <row r="131" spans="1:12" x14ac:dyDescent="0.25">
      <c r="A131">
        <v>5761</v>
      </c>
      <c r="B131">
        <v>3134</v>
      </c>
      <c r="C131" s="19">
        <v>46100.531330983795</v>
      </c>
      <c r="D131" t="s">
        <v>267</v>
      </c>
      <c r="E131">
        <v>1</v>
      </c>
      <c r="F131" t="s">
        <v>267</v>
      </c>
      <c r="G131" t="s">
        <v>267</v>
      </c>
      <c r="H131">
        <v>4612</v>
      </c>
      <c r="I131">
        <v>439599</v>
      </c>
      <c r="J131" t="s">
        <v>267</v>
      </c>
      <c r="K131" t="s">
        <v>267</v>
      </c>
      <c r="L131">
        <v>821</v>
      </c>
    </row>
    <row r="132" spans="1:12" x14ac:dyDescent="0.25">
      <c r="A132">
        <v>5762</v>
      </c>
      <c r="B132">
        <v>3134</v>
      </c>
      <c r="C132" s="19">
        <v>46100.531330983795</v>
      </c>
      <c r="D132" t="s">
        <v>267</v>
      </c>
      <c r="E132">
        <v>1</v>
      </c>
      <c r="F132" t="s">
        <v>267</v>
      </c>
      <c r="G132" t="s">
        <v>267</v>
      </c>
      <c r="H132">
        <v>8431</v>
      </c>
      <c r="I132">
        <v>440933</v>
      </c>
      <c r="J132" t="s">
        <v>267</v>
      </c>
      <c r="K132" t="s">
        <v>267</v>
      </c>
      <c r="L132">
        <v>2368</v>
      </c>
    </row>
    <row r="133" spans="1:12" x14ac:dyDescent="0.25">
      <c r="A133">
        <v>5763</v>
      </c>
      <c r="B133">
        <v>3134</v>
      </c>
      <c r="C133" s="19">
        <v>46100.531353472223</v>
      </c>
      <c r="D133" t="s">
        <v>267</v>
      </c>
      <c r="E133">
        <v>1</v>
      </c>
      <c r="F133" t="s">
        <v>267</v>
      </c>
      <c r="G133" t="s">
        <v>267</v>
      </c>
      <c r="H133">
        <v>8431</v>
      </c>
      <c r="I133">
        <v>440932</v>
      </c>
      <c r="J133" t="s">
        <v>267</v>
      </c>
      <c r="K133" t="s">
        <v>267</v>
      </c>
      <c r="L133">
        <v>2368</v>
      </c>
    </row>
    <row r="134" spans="1:12" x14ac:dyDescent="0.25">
      <c r="A134">
        <v>5779</v>
      </c>
      <c r="B134">
        <v>3134</v>
      </c>
      <c r="C134" s="19">
        <v>46100.69795454861</v>
      </c>
      <c r="D134" t="s">
        <v>267</v>
      </c>
      <c r="E134">
        <v>1</v>
      </c>
      <c r="F134" t="s">
        <v>267</v>
      </c>
      <c r="G134" t="s">
        <v>267</v>
      </c>
      <c r="H134">
        <v>8431</v>
      </c>
      <c r="I134">
        <v>440936</v>
      </c>
      <c r="J134" t="s">
        <v>267</v>
      </c>
      <c r="K134" t="s">
        <v>267</v>
      </c>
      <c r="L134">
        <v>2368</v>
      </c>
    </row>
    <row r="135" spans="1:12" x14ac:dyDescent="0.25">
      <c r="A135">
        <v>5780</v>
      </c>
      <c r="B135">
        <v>3134</v>
      </c>
      <c r="C135" s="19">
        <v>46100.697979282406</v>
      </c>
      <c r="D135" t="s">
        <v>267</v>
      </c>
      <c r="E135">
        <v>1</v>
      </c>
      <c r="F135" t="s">
        <v>267</v>
      </c>
      <c r="G135" t="s">
        <v>267</v>
      </c>
      <c r="H135">
        <v>8431</v>
      </c>
      <c r="I135">
        <v>440932</v>
      </c>
      <c r="J135" t="s">
        <v>267</v>
      </c>
      <c r="K135" t="s">
        <v>267</v>
      </c>
      <c r="L135">
        <v>2368</v>
      </c>
    </row>
    <row r="136" spans="1:12" x14ac:dyDescent="0.25">
      <c r="A136">
        <v>5781</v>
      </c>
      <c r="B136">
        <v>3134</v>
      </c>
      <c r="C136" s="19">
        <v>46100.718817013891</v>
      </c>
      <c r="D136" t="s">
        <v>267</v>
      </c>
      <c r="E136">
        <v>1</v>
      </c>
      <c r="F136" t="s">
        <v>267</v>
      </c>
      <c r="G136" t="s">
        <v>267</v>
      </c>
      <c r="H136">
        <v>8431</v>
      </c>
      <c r="I136">
        <v>440932</v>
      </c>
      <c r="J136" t="s">
        <v>267</v>
      </c>
      <c r="K136" t="s">
        <v>267</v>
      </c>
      <c r="L136">
        <v>2368</v>
      </c>
    </row>
    <row r="137" spans="1:12" x14ac:dyDescent="0.25">
      <c r="A137">
        <v>5783</v>
      </c>
      <c r="B137">
        <v>3134</v>
      </c>
      <c r="C137" s="19">
        <v>46101.447979282406</v>
      </c>
      <c r="D137" t="s">
        <v>267</v>
      </c>
      <c r="E137">
        <v>1</v>
      </c>
      <c r="F137" t="s">
        <v>267</v>
      </c>
      <c r="G137" t="s">
        <v>267</v>
      </c>
      <c r="H137">
        <v>8189</v>
      </c>
      <c r="I137">
        <v>0</v>
      </c>
      <c r="J137" t="s">
        <v>267</v>
      </c>
      <c r="K137" t="s">
        <v>267</v>
      </c>
      <c r="L137">
        <v>2329</v>
      </c>
    </row>
    <row r="138" spans="1:12" x14ac:dyDescent="0.25">
      <c r="A138">
        <v>5784</v>
      </c>
      <c r="B138">
        <v>3134</v>
      </c>
      <c r="C138" s="19">
        <v>46101.552181979168</v>
      </c>
      <c r="D138" t="s">
        <v>267</v>
      </c>
      <c r="E138">
        <v>1</v>
      </c>
      <c r="F138" t="s">
        <v>267</v>
      </c>
      <c r="G138" t="s">
        <v>267</v>
      </c>
      <c r="H138">
        <v>10103</v>
      </c>
      <c r="I138">
        <v>0</v>
      </c>
      <c r="J138" t="s">
        <v>267</v>
      </c>
      <c r="K138" t="s">
        <v>267</v>
      </c>
      <c r="L138">
        <v>1841</v>
      </c>
    </row>
    <row r="139" spans="1:12" x14ac:dyDescent="0.25">
      <c r="A139">
        <v>5785</v>
      </c>
      <c r="B139">
        <v>3134</v>
      </c>
      <c r="C139" s="19">
        <v>46101.572969560184</v>
      </c>
      <c r="D139" t="s">
        <v>267</v>
      </c>
      <c r="E139">
        <v>1</v>
      </c>
      <c r="F139" t="s">
        <v>267</v>
      </c>
      <c r="G139" t="s">
        <v>267</v>
      </c>
      <c r="H139">
        <v>4586</v>
      </c>
      <c r="I139">
        <v>0</v>
      </c>
      <c r="J139" t="s">
        <v>267</v>
      </c>
      <c r="K139" t="s">
        <v>267</v>
      </c>
      <c r="L139">
        <v>1875</v>
      </c>
    </row>
    <row r="140" spans="1:12" x14ac:dyDescent="0.25">
      <c r="A140">
        <v>5795</v>
      </c>
      <c r="B140">
        <v>3134</v>
      </c>
      <c r="C140" s="19">
        <v>46101.656317592591</v>
      </c>
      <c r="D140" t="s">
        <v>267</v>
      </c>
      <c r="E140">
        <v>1</v>
      </c>
      <c r="F140" t="s">
        <v>267</v>
      </c>
      <c r="G140" t="s">
        <v>267</v>
      </c>
      <c r="H140">
        <v>2679</v>
      </c>
      <c r="I140">
        <v>0</v>
      </c>
      <c r="J140" t="s">
        <v>267</v>
      </c>
      <c r="K140" t="s">
        <v>267</v>
      </c>
      <c r="L140">
        <v>185</v>
      </c>
    </row>
    <row r="141" spans="1:12" x14ac:dyDescent="0.25">
      <c r="A141">
        <v>5796</v>
      </c>
      <c r="B141">
        <v>3134</v>
      </c>
      <c r="C141" s="19">
        <v>46101.677151886572</v>
      </c>
      <c r="D141" t="s">
        <v>267</v>
      </c>
      <c r="E141">
        <v>1</v>
      </c>
      <c r="F141" t="s">
        <v>267</v>
      </c>
      <c r="G141" t="s">
        <v>267</v>
      </c>
      <c r="H141">
        <v>160</v>
      </c>
      <c r="I141">
        <v>0</v>
      </c>
      <c r="J141" t="s">
        <v>267</v>
      </c>
      <c r="K141" t="s">
        <v>267</v>
      </c>
      <c r="L141">
        <v>245</v>
      </c>
    </row>
    <row r="142" spans="1:12" x14ac:dyDescent="0.25">
      <c r="A142">
        <v>5797</v>
      </c>
      <c r="B142">
        <v>3134</v>
      </c>
      <c r="C142" s="19">
        <v>46101.677151886572</v>
      </c>
      <c r="D142" t="s">
        <v>267</v>
      </c>
      <c r="E142">
        <v>1</v>
      </c>
      <c r="F142" t="s">
        <v>267</v>
      </c>
      <c r="G142" t="s">
        <v>267</v>
      </c>
      <c r="H142">
        <v>2017</v>
      </c>
      <c r="I142">
        <v>0</v>
      </c>
      <c r="J142" t="s">
        <v>267</v>
      </c>
      <c r="K142" t="s">
        <v>267</v>
      </c>
      <c r="L142">
        <v>1455</v>
      </c>
    </row>
    <row r="143" spans="1:12" x14ac:dyDescent="0.25">
      <c r="A143">
        <v>5799</v>
      </c>
      <c r="B143">
        <v>3134</v>
      </c>
      <c r="C143" s="19">
        <v>46101.697990474539</v>
      </c>
      <c r="D143" t="s">
        <v>267</v>
      </c>
      <c r="E143">
        <v>1</v>
      </c>
      <c r="F143" t="s">
        <v>267</v>
      </c>
      <c r="G143" t="s">
        <v>267</v>
      </c>
      <c r="H143">
        <v>10181</v>
      </c>
      <c r="I143">
        <v>0</v>
      </c>
      <c r="J143" t="s">
        <v>267</v>
      </c>
      <c r="K143" t="s">
        <v>267</v>
      </c>
      <c r="L143">
        <v>546</v>
      </c>
    </row>
    <row r="144" spans="1:12" x14ac:dyDescent="0.25">
      <c r="A144">
        <v>5800</v>
      </c>
      <c r="B144">
        <v>3134</v>
      </c>
      <c r="C144" s="19">
        <v>46101.698037268521</v>
      </c>
      <c r="D144" t="s">
        <v>267</v>
      </c>
      <c r="E144">
        <v>1</v>
      </c>
      <c r="F144" t="s">
        <v>267</v>
      </c>
      <c r="G144" t="s">
        <v>267</v>
      </c>
      <c r="H144">
        <v>10181</v>
      </c>
      <c r="I144">
        <v>0</v>
      </c>
      <c r="J144" t="s">
        <v>267</v>
      </c>
      <c r="K144" t="s">
        <v>267</v>
      </c>
      <c r="L144">
        <v>546</v>
      </c>
    </row>
    <row r="145" spans="1:12" x14ac:dyDescent="0.25">
      <c r="A145">
        <v>5801</v>
      </c>
      <c r="B145">
        <v>3134</v>
      </c>
      <c r="C145" s="18">
        <v>46104.427125115741</v>
      </c>
      <c r="D145" t="s">
        <v>267</v>
      </c>
      <c r="E145">
        <v>1</v>
      </c>
      <c r="F145" t="s">
        <v>267</v>
      </c>
      <c r="G145" t="s">
        <v>267</v>
      </c>
      <c r="H145">
        <v>9624</v>
      </c>
      <c r="I145">
        <v>0</v>
      </c>
      <c r="J145" t="s">
        <v>267</v>
      </c>
      <c r="K145" t="s">
        <v>267</v>
      </c>
      <c r="L145">
        <v>2391</v>
      </c>
    </row>
    <row r="146" spans="1:12" x14ac:dyDescent="0.25">
      <c r="A146">
        <v>5802</v>
      </c>
      <c r="B146">
        <v>3134</v>
      </c>
      <c r="C146" s="19">
        <v>46104.427125115741</v>
      </c>
      <c r="D146" t="s">
        <v>267</v>
      </c>
      <c r="E146">
        <v>1</v>
      </c>
      <c r="F146" t="s">
        <v>267</v>
      </c>
      <c r="G146" t="s">
        <v>267</v>
      </c>
      <c r="H146">
        <v>9624</v>
      </c>
      <c r="I146">
        <v>0</v>
      </c>
      <c r="J146" t="s">
        <v>267</v>
      </c>
      <c r="K146" t="s">
        <v>267</v>
      </c>
      <c r="L146">
        <v>2391</v>
      </c>
    </row>
    <row r="147" spans="1:12" x14ac:dyDescent="0.25">
      <c r="A147">
        <v>5803</v>
      </c>
      <c r="B147">
        <v>3134</v>
      </c>
      <c r="C147" s="19">
        <v>46104.447949965281</v>
      </c>
      <c r="D147" t="s">
        <v>267</v>
      </c>
      <c r="E147">
        <v>1</v>
      </c>
      <c r="F147" t="s">
        <v>267</v>
      </c>
      <c r="G147" t="s">
        <v>267</v>
      </c>
      <c r="H147">
        <v>9624</v>
      </c>
      <c r="I147">
        <v>0</v>
      </c>
      <c r="J147" t="s">
        <v>267</v>
      </c>
      <c r="K147" t="s">
        <v>267</v>
      </c>
      <c r="L147">
        <v>2391</v>
      </c>
    </row>
    <row r="148" spans="1:12" x14ac:dyDescent="0.25">
      <c r="A148">
        <v>5804</v>
      </c>
      <c r="B148">
        <v>3134</v>
      </c>
      <c r="C148" s="19">
        <v>46104.468784375</v>
      </c>
      <c r="D148" t="s">
        <v>267</v>
      </c>
      <c r="E148">
        <v>1</v>
      </c>
      <c r="F148" t="s">
        <v>267</v>
      </c>
      <c r="G148" t="s">
        <v>267</v>
      </c>
      <c r="H148">
        <v>10187</v>
      </c>
      <c r="I148">
        <v>0</v>
      </c>
      <c r="J148" t="s">
        <v>267</v>
      </c>
      <c r="K148" t="s">
        <v>267</v>
      </c>
      <c r="L148">
        <v>2466</v>
      </c>
    </row>
    <row r="149" spans="1:12" x14ac:dyDescent="0.25">
      <c r="A149">
        <v>5805</v>
      </c>
      <c r="B149">
        <v>3134</v>
      </c>
      <c r="C149" s="19">
        <v>46104.468796643516</v>
      </c>
      <c r="D149" t="s">
        <v>267</v>
      </c>
      <c r="E149">
        <v>1</v>
      </c>
      <c r="F149" t="s">
        <v>267</v>
      </c>
      <c r="G149" t="s">
        <v>267</v>
      </c>
      <c r="H149">
        <v>10187</v>
      </c>
      <c r="I149">
        <v>0</v>
      </c>
      <c r="J149" t="s">
        <v>267</v>
      </c>
      <c r="K149" t="s">
        <v>267</v>
      </c>
      <c r="L149">
        <v>2466</v>
      </c>
    </row>
    <row r="150" spans="1:12" x14ac:dyDescent="0.25">
      <c r="A150">
        <v>5806</v>
      </c>
      <c r="B150">
        <v>3134</v>
      </c>
      <c r="C150" s="19">
        <v>46104.468796643516</v>
      </c>
      <c r="D150" t="s">
        <v>267</v>
      </c>
      <c r="E150">
        <v>1</v>
      </c>
      <c r="F150" t="s">
        <v>267</v>
      </c>
      <c r="G150" t="s">
        <v>267</v>
      </c>
      <c r="H150">
        <v>10187</v>
      </c>
      <c r="I150">
        <v>0</v>
      </c>
      <c r="J150" t="s">
        <v>267</v>
      </c>
      <c r="K150" t="s">
        <v>267</v>
      </c>
      <c r="L150">
        <v>2466</v>
      </c>
    </row>
    <row r="151" spans="1:12" x14ac:dyDescent="0.25">
      <c r="A151">
        <v>5807</v>
      </c>
      <c r="B151">
        <v>3134</v>
      </c>
      <c r="C151" s="19">
        <v>46104.468796643516</v>
      </c>
      <c r="D151" t="s">
        <v>267</v>
      </c>
      <c r="E151">
        <v>1</v>
      </c>
      <c r="F151" t="s">
        <v>267</v>
      </c>
      <c r="G151" t="s">
        <v>267</v>
      </c>
      <c r="H151">
        <v>10187</v>
      </c>
      <c r="I151">
        <v>0</v>
      </c>
      <c r="J151" t="s">
        <v>267</v>
      </c>
      <c r="K151" t="s">
        <v>267</v>
      </c>
      <c r="L151">
        <v>2466</v>
      </c>
    </row>
    <row r="152" spans="1:12" x14ac:dyDescent="0.25">
      <c r="A152">
        <v>5812</v>
      </c>
      <c r="B152">
        <v>3134</v>
      </c>
      <c r="C152" s="19">
        <v>46104.760459837962</v>
      </c>
      <c r="D152" t="s">
        <v>267</v>
      </c>
      <c r="E152">
        <v>1</v>
      </c>
      <c r="F152" t="s">
        <v>267</v>
      </c>
      <c r="G152" t="s">
        <v>267</v>
      </c>
      <c r="H152">
        <v>8425</v>
      </c>
      <c r="I152">
        <v>0</v>
      </c>
      <c r="J152" t="s">
        <v>267</v>
      </c>
      <c r="K152" t="s">
        <v>267</v>
      </c>
      <c r="L152">
        <v>2367</v>
      </c>
    </row>
    <row r="153" spans="1:12" x14ac:dyDescent="0.25">
      <c r="A153">
        <v>5814</v>
      </c>
      <c r="B153">
        <v>3134</v>
      </c>
      <c r="C153" s="19">
        <v>46105.385451736111</v>
      </c>
      <c r="D153" t="s">
        <v>267</v>
      </c>
      <c r="E153">
        <v>1</v>
      </c>
      <c r="F153" t="s">
        <v>267</v>
      </c>
      <c r="G153" t="s">
        <v>267</v>
      </c>
      <c r="H153">
        <v>161</v>
      </c>
      <c r="I153">
        <v>0</v>
      </c>
      <c r="J153" t="s">
        <v>267</v>
      </c>
      <c r="K153" t="s">
        <v>267</v>
      </c>
      <c r="L153">
        <v>44</v>
      </c>
    </row>
    <row r="154" spans="1:12" x14ac:dyDescent="0.25">
      <c r="A154">
        <v>5815</v>
      </c>
      <c r="B154">
        <v>3134</v>
      </c>
      <c r="C154" s="19">
        <v>46105.385451736111</v>
      </c>
      <c r="D154" t="s">
        <v>267</v>
      </c>
      <c r="E154">
        <v>1</v>
      </c>
      <c r="F154" t="s">
        <v>267</v>
      </c>
      <c r="G154" t="s">
        <v>267</v>
      </c>
      <c r="H154">
        <v>7142</v>
      </c>
      <c r="I154">
        <v>0</v>
      </c>
      <c r="J154" t="s">
        <v>267</v>
      </c>
      <c r="K154" t="s">
        <v>267</v>
      </c>
      <c r="L154">
        <v>2129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1A33-515E-43C3-9C02-717A3A193BA9}">
  <dimension ref="A1:K47"/>
  <sheetViews>
    <sheetView workbookViewId="0">
      <selection activeCell="C19" sqref="C19"/>
    </sheetView>
  </sheetViews>
  <sheetFormatPr defaultRowHeight="15" x14ac:dyDescent="0.25"/>
  <cols>
    <col min="2" max="2" width="40.42578125" bestFit="1" customWidth="1"/>
  </cols>
  <sheetData>
    <row r="1" spans="1:5" x14ac:dyDescent="0.25">
      <c r="A1" t="s">
        <v>23</v>
      </c>
      <c r="B1" t="s">
        <v>12</v>
      </c>
      <c r="C1" t="s">
        <v>24</v>
      </c>
      <c r="D1" t="s">
        <v>28</v>
      </c>
      <c r="E1" t="s">
        <v>28</v>
      </c>
    </row>
    <row r="2" spans="1:5" x14ac:dyDescent="0.25">
      <c r="A2" t="s">
        <v>18</v>
      </c>
      <c r="B2" t="s">
        <v>21</v>
      </c>
      <c r="C2" t="s">
        <v>25</v>
      </c>
      <c r="D2" t="s">
        <v>29</v>
      </c>
      <c r="E2" t="s">
        <v>32</v>
      </c>
    </row>
    <row r="3" spans="1:5" x14ac:dyDescent="0.25">
      <c r="A3" t="s">
        <v>19</v>
      </c>
      <c r="B3" t="s">
        <v>22</v>
      </c>
      <c r="C3" t="s">
        <v>26</v>
      </c>
      <c r="D3" t="s">
        <v>30</v>
      </c>
      <c r="E3" t="s">
        <v>33</v>
      </c>
    </row>
    <row r="4" spans="1:5" x14ac:dyDescent="0.25">
      <c r="A4" t="s">
        <v>20</v>
      </c>
      <c r="B4" t="s">
        <v>22</v>
      </c>
      <c r="C4" t="s">
        <v>27</v>
      </c>
      <c r="D4" t="s">
        <v>31</v>
      </c>
      <c r="E4" t="s">
        <v>34</v>
      </c>
    </row>
    <row r="6" spans="1:5" x14ac:dyDescent="0.25">
      <c r="A6" s="2" t="s">
        <v>12</v>
      </c>
    </row>
    <row r="7" spans="1:5" x14ac:dyDescent="0.25">
      <c r="A7" t="s">
        <v>4</v>
      </c>
    </row>
    <row r="8" spans="1:5" x14ac:dyDescent="0.25">
      <c r="A8" t="s">
        <v>7</v>
      </c>
      <c r="B8" s="1" t="s">
        <v>17</v>
      </c>
      <c r="C8" t="s">
        <v>35</v>
      </c>
      <c r="D8" s="1" t="s">
        <v>16</v>
      </c>
    </row>
    <row r="9" spans="1:5" x14ac:dyDescent="0.25">
      <c r="A9" t="s">
        <v>10</v>
      </c>
      <c r="B9" s="1" t="s">
        <v>14</v>
      </c>
      <c r="C9" t="s">
        <v>15</v>
      </c>
      <c r="D9" s="1" t="s">
        <v>16</v>
      </c>
    </row>
    <row r="10" spans="1:5" x14ac:dyDescent="0.25">
      <c r="A10" t="s">
        <v>13</v>
      </c>
    </row>
    <row r="12" spans="1:5" x14ac:dyDescent="0.25">
      <c r="A12" s="2" t="s">
        <v>36</v>
      </c>
    </row>
    <row r="13" spans="1:5" x14ac:dyDescent="0.25">
      <c r="A13" t="s">
        <v>37</v>
      </c>
    </row>
    <row r="14" spans="1:5" x14ac:dyDescent="0.25">
      <c r="A14" t="s">
        <v>7</v>
      </c>
    </row>
    <row r="15" spans="1:5" x14ac:dyDescent="0.25">
      <c r="A15" t="s">
        <v>10</v>
      </c>
      <c r="B15" s="1" t="s">
        <v>38</v>
      </c>
      <c r="C15" t="s">
        <v>39</v>
      </c>
      <c r="D15" s="1" t="s">
        <v>16</v>
      </c>
    </row>
    <row r="17" spans="1:4" x14ac:dyDescent="0.25">
      <c r="A17" t="s">
        <v>19</v>
      </c>
    </row>
    <row r="19" spans="1:4" x14ac:dyDescent="0.25">
      <c r="A19" t="s">
        <v>7</v>
      </c>
      <c r="B19" s="1" t="s">
        <v>40</v>
      </c>
      <c r="C19" t="s">
        <v>42</v>
      </c>
      <c r="D19" s="1" t="s">
        <v>16</v>
      </c>
    </row>
    <row r="20" spans="1:4" x14ac:dyDescent="0.25">
      <c r="A20" t="s">
        <v>10</v>
      </c>
      <c r="B20" s="1" t="s">
        <v>41</v>
      </c>
      <c r="C20" t="s">
        <v>42</v>
      </c>
      <c r="D20" s="1" t="s">
        <v>16</v>
      </c>
    </row>
    <row r="23" spans="1:4" x14ac:dyDescent="0.25">
      <c r="A23" t="s">
        <v>18</v>
      </c>
    </row>
    <row r="24" spans="1:4" x14ac:dyDescent="0.25">
      <c r="A24" t="s">
        <v>37</v>
      </c>
    </row>
    <row r="25" spans="1:4" x14ac:dyDescent="0.25">
      <c r="A25" t="s">
        <v>7</v>
      </c>
    </row>
    <row r="26" spans="1:4" x14ac:dyDescent="0.25">
      <c r="A26" t="s">
        <v>10</v>
      </c>
      <c r="B26" t="s">
        <v>43</v>
      </c>
      <c r="C26" t="s">
        <v>44</v>
      </c>
      <c r="D26" s="1" t="s">
        <v>16</v>
      </c>
    </row>
    <row r="28" spans="1:4" ht="16.5" customHeight="1" x14ac:dyDescent="0.25">
      <c r="B28" s="21" t="s">
        <v>201</v>
      </c>
      <c r="C28" s="20" t="s">
        <v>202</v>
      </c>
      <c r="D28" s="1" t="s">
        <v>16</v>
      </c>
    </row>
    <row r="44" spans="8:11" x14ac:dyDescent="0.25">
      <c r="H44">
        <v>300000</v>
      </c>
      <c r="I44">
        <v>7.5</v>
      </c>
      <c r="J44">
        <f>(H44*I44/100)</f>
        <v>22500</v>
      </c>
      <c r="K44">
        <f>(H44+J44)</f>
        <v>322500</v>
      </c>
    </row>
    <row r="45" spans="8:11" x14ac:dyDescent="0.25">
      <c r="H45">
        <v>300000</v>
      </c>
      <c r="I45">
        <v>20</v>
      </c>
      <c r="J45">
        <f>(H45*I45/100)</f>
        <v>60000</v>
      </c>
      <c r="K45">
        <f>(H45+J45)</f>
        <v>360000</v>
      </c>
    </row>
    <row r="46" spans="8:11" x14ac:dyDescent="0.25">
      <c r="H46">
        <v>300000</v>
      </c>
      <c r="I46">
        <v>25</v>
      </c>
      <c r="J46">
        <f>(H46*I46/100)</f>
        <v>75000</v>
      </c>
      <c r="K46">
        <f>(H46+J46)</f>
        <v>375000</v>
      </c>
    </row>
    <row r="47" spans="8:11" x14ac:dyDescent="0.25">
      <c r="H47">
        <v>300000</v>
      </c>
      <c r="I47">
        <v>30</v>
      </c>
      <c r="J47">
        <f>(H47*I47/100)</f>
        <v>90000</v>
      </c>
      <c r="K47">
        <f>(H47+J47)</f>
        <v>390000</v>
      </c>
    </row>
  </sheetData>
  <hyperlinks>
    <hyperlink ref="B9" r:id="rId1" xr:uid="{61ED0F3F-EE38-48D0-A72D-4FE07F39DBB6}"/>
    <hyperlink ref="D9" r:id="rId2" xr:uid="{EDBF81E4-DF99-4271-B4E5-868BE8041422}"/>
    <hyperlink ref="B8" r:id="rId3" xr:uid="{5B30ED09-9E99-4E43-8D31-2F7D1FFEE5FD}"/>
    <hyperlink ref="D8" r:id="rId4" xr:uid="{F8C27127-3908-47F9-82C0-F27D6A813C5A}"/>
    <hyperlink ref="B15" r:id="rId5" xr:uid="{2BB6E91E-5E0B-4464-A4C7-CB3EF9B01E44}"/>
    <hyperlink ref="D15" r:id="rId6" xr:uid="{6082A2A0-9F6D-42B7-AD4B-BDC1630157AF}"/>
    <hyperlink ref="B19" r:id="rId7" xr:uid="{C8B9B103-D7AA-4AB7-BA05-494ED8A9E210}"/>
    <hyperlink ref="B20" r:id="rId8" xr:uid="{DAEF9717-4B9B-46C4-87F5-3305F88EF277}"/>
    <hyperlink ref="D19" r:id="rId9" xr:uid="{0B1278AE-2CB2-4837-89E0-6B313FB61A01}"/>
    <hyperlink ref="D26" r:id="rId10" xr:uid="{1E25D22C-C35E-4046-837B-25307C8BE0E7}"/>
    <hyperlink ref="B28" r:id="rId11" xr:uid="{F4EC5A90-CC3B-478A-A490-9A108C97AF37}"/>
    <hyperlink ref="D28" r:id="rId12" xr:uid="{8529D11B-AEBD-40C3-BD8B-574DAA0C5920}"/>
    <hyperlink ref="D20" r:id="rId13" xr:uid="{EF92F880-167A-4C14-917C-A7822A1048A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D5D3-24AA-45D5-B17C-4D39251413ED}">
  <dimension ref="A1:Z66"/>
  <sheetViews>
    <sheetView tabSelected="1" topLeftCell="A22" workbookViewId="0">
      <selection activeCell="Y43" sqref="Y43"/>
    </sheetView>
  </sheetViews>
  <sheetFormatPr defaultRowHeight="15" x14ac:dyDescent="0.25"/>
  <cols>
    <col min="2" max="2" width="10.42578125" bestFit="1" customWidth="1"/>
    <col min="3" max="3" width="13.140625" bestFit="1" customWidth="1"/>
    <col min="6" max="6" width="10.42578125" bestFit="1" customWidth="1"/>
    <col min="10" max="10" width="10.42578125" bestFit="1" customWidth="1"/>
    <col min="13" max="14" width="10.42578125" bestFit="1" customWidth="1"/>
    <col min="16" max="16" width="10.42578125" bestFit="1" customWidth="1"/>
    <col min="18" max="18" width="10.42578125" bestFit="1" customWidth="1"/>
    <col min="19" max="19" width="11.28515625" customWidth="1"/>
    <col min="21" max="21" width="10.42578125" bestFit="1" customWidth="1"/>
    <col min="22" max="22" width="9.140625" customWidth="1"/>
    <col min="24" max="25" width="10.42578125" bestFit="1" customWidth="1"/>
  </cols>
  <sheetData>
    <row r="1" spans="1:26" x14ac:dyDescent="0.25">
      <c r="A1" s="2" t="s">
        <v>128</v>
      </c>
      <c r="B1" s="2" t="s">
        <v>129</v>
      </c>
      <c r="C1" s="2" t="s">
        <v>130</v>
      </c>
      <c r="E1" s="2" t="s">
        <v>128</v>
      </c>
      <c r="F1" s="2" t="s">
        <v>129</v>
      </c>
      <c r="G1" s="2" t="s">
        <v>130</v>
      </c>
    </row>
    <row r="2" spans="1:26" x14ac:dyDescent="0.25">
      <c r="A2" s="17">
        <v>35295</v>
      </c>
      <c r="B2" s="15"/>
      <c r="C2">
        <v>40</v>
      </c>
      <c r="E2" s="15">
        <v>35459</v>
      </c>
      <c r="G2">
        <v>30</v>
      </c>
      <c r="I2" t="s">
        <v>197</v>
      </c>
      <c r="K2">
        <v>25</v>
      </c>
      <c r="M2" t="s">
        <v>200</v>
      </c>
      <c r="O2">
        <v>26</v>
      </c>
      <c r="Q2" t="s">
        <v>227</v>
      </c>
      <c r="S2">
        <v>24</v>
      </c>
      <c r="U2" t="s">
        <v>249</v>
      </c>
      <c r="V2">
        <v>60</v>
      </c>
      <c r="X2" t="s">
        <v>250</v>
      </c>
      <c r="Z2">
        <v>10</v>
      </c>
    </row>
    <row r="3" spans="1:26" x14ac:dyDescent="0.25">
      <c r="B3" s="16">
        <v>45831</v>
      </c>
      <c r="C3">
        <v>6</v>
      </c>
      <c r="F3" s="16">
        <v>45840</v>
      </c>
      <c r="G3">
        <v>6</v>
      </c>
      <c r="J3" s="16">
        <v>45957</v>
      </c>
      <c r="K3">
        <v>6</v>
      </c>
      <c r="N3" s="16">
        <v>45974</v>
      </c>
      <c r="O3">
        <v>6</v>
      </c>
      <c r="R3" s="16">
        <v>45988</v>
      </c>
      <c r="S3">
        <v>6</v>
      </c>
      <c r="U3" s="16">
        <v>46017</v>
      </c>
      <c r="V3">
        <v>6</v>
      </c>
      <c r="X3" s="16">
        <v>46020</v>
      </c>
      <c r="Z3">
        <v>6</v>
      </c>
    </row>
    <row r="4" spans="1:26" x14ac:dyDescent="0.25">
      <c r="B4" s="16">
        <v>45832</v>
      </c>
      <c r="C4">
        <v>6</v>
      </c>
      <c r="F4" s="16">
        <v>45841</v>
      </c>
      <c r="G4">
        <v>6</v>
      </c>
      <c r="J4" s="16">
        <v>45958</v>
      </c>
      <c r="K4">
        <v>6</v>
      </c>
      <c r="N4" s="16">
        <v>45975</v>
      </c>
      <c r="O4">
        <v>6</v>
      </c>
      <c r="R4" s="16">
        <v>45989</v>
      </c>
      <c r="S4">
        <v>6</v>
      </c>
      <c r="U4" s="16">
        <v>46030</v>
      </c>
      <c r="V4">
        <v>3</v>
      </c>
      <c r="X4" s="16">
        <v>46021</v>
      </c>
      <c r="Z4">
        <v>4</v>
      </c>
    </row>
    <row r="5" spans="1:26" x14ac:dyDescent="0.25">
      <c r="B5" s="16">
        <v>45833</v>
      </c>
      <c r="C5">
        <v>0</v>
      </c>
      <c r="F5" s="16">
        <v>45842</v>
      </c>
      <c r="G5">
        <v>6</v>
      </c>
      <c r="J5" s="16">
        <v>45959</v>
      </c>
      <c r="K5">
        <v>6</v>
      </c>
      <c r="N5" s="16">
        <v>45978</v>
      </c>
      <c r="O5">
        <v>6</v>
      </c>
      <c r="R5" s="16">
        <v>45992</v>
      </c>
      <c r="S5">
        <v>6</v>
      </c>
      <c r="U5" s="16">
        <v>46034</v>
      </c>
      <c r="V5">
        <v>2</v>
      </c>
    </row>
    <row r="6" spans="1:26" x14ac:dyDescent="0.25">
      <c r="B6" s="16">
        <v>45834</v>
      </c>
      <c r="C6">
        <v>0</v>
      </c>
      <c r="F6" s="16">
        <v>45845</v>
      </c>
      <c r="G6">
        <v>6</v>
      </c>
      <c r="J6" s="16">
        <v>45960</v>
      </c>
      <c r="K6">
        <v>6</v>
      </c>
      <c r="N6" s="16">
        <v>45979</v>
      </c>
      <c r="O6">
        <v>6</v>
      </c>
      <c r="R6" s="16">
        <v>45993</v>
      </c>
      <c r="S6">
        <v>6</v>
      </c>
      <c r="U6" s="16">
        <v>46035</v>
      </c>
      <c r="V6">
        <v>0</v>
      </c>
      <c r="X6" t="s">
        <v>251</v>
      </c>
      <c r="Z6">
        <v>15</v>
      </c>
    </row>
    <row r="7" spans="1:26" x14ac:dyDescent="0.25">
      <c r="B7" s="16">
        <v>45835</v>
      </c>
      <c r="C7">
        <v>0</v>
      </c>
      <c r="F7" s="16">
        <v>45846</v>
      </c>
      <c r="G7">
        <v>6</v>
      </c>
      <c r="J7" s="16">
        <v>45964</v>
      </c>
      <c r="K7">
        <v>1</v>
      </c>
      <c r="N7" s="16">
        <v>45980</v>
      </c>
      <c r="O7">
        <v>2</v>
      </c>
      <c r="S7">
        <f>SUM(S3:S6)</f>
        <v>24</v>
      </c>
      <c r="U7" s="16">
        <v>46036</v>
      </c>
      <c r="V7">
        <v>0</v>
      </c>
      <c r="X7" s="16">
        <v>46027</v>
      </c>
      <c r="Z7">
        <v>6</v>
      </c>
    </row>
    <row r="8" spans="1:26" x14ac:dyDescent="0.25">
      <c r="B8" s="16">
        <v>45836</v>
      </c>
      <c r="C8">
        <v>0</v>
      </c>
      <c r="F8" s="16">
        <v>45847</v>
      </c>
      <c r="G8">
        <v>0</v>
      </c>
      <c r="K8">
        <f>SUM(K3:K7)</f>
        <v>25</v>
      </c>
      <c r="O8">
        <f>SUM(O3:O7)</f>
        <v>26</v>
      </c>
      <c r="Q8" t="s">
        <v>231</v>
      </c>
      <c r="S8">
        <v>24</v>
      </c>
      <c r="U8" s="16">
        <v>46037</v>
      </c>
      <c r="V8">
        <v>0</v>
      </c>
      <c r="X8" s="16">
        <v>46028</v>
      </c>
      <c r="Z8">
        <v>6</v>
      </c>
    </row>
    <row r="9" spans="1:26" x14ac:dyDescent="0.25">
      <c r="C9">
        <f>SUM(C3:C8)</f>
        <v>12</v>
      </c>
      <c r="F9" s="16">
        <v>45848</v>
      </c>
      <c r="M9" t="s">
        <v>203</v>
      </c>
      <c r="O9">
        <v>12</v>
      </c>
      <c r="R9" s="16">
        <v>45999</v>
      </c>
      <c r="S9">
        <v>6</v>
      </c>
      <c r="U9" s="16">
        <v>46038</v>
      </c>
      <c r="V9">
        <v>0</v>
      </c>
      <c r="X9" s="16">
        <v>46029</v>
      </c>
      <c r="Z9">
        <v>3</v>
      </c>
    </row>
    <row r="10" spans="1:26" x14ac:dyDescent="0.25">
      <c r="I10" t="s">
        <v>198</v>
      </c>
      <c r="K10">
        <v>24</v>
      </c>
      <c r="N10" s="16">
        <v>45980</v>
      </c>
      <c r="O10">
        <v>2</v>
      </c>
      <c r="R10" s="16">
        <v>46000</v>
      </c>
      <c r="S10">
        <v>6</v>
      </c>
      <c r="U10" s="16">
        <v>46039</v>
      </c>
      <c r="V10">
        <v>0</v>
      </c>
      <c r="Z10">
        <f>SUM(Z7:Z9)</f>
        <v>15</v>
      </c>
    </row>
    <row r="11" spans="1:26" x14ac:dyDescent="0.25">
      <c r="G11">
        <f>SUM(G3:G7)</f>
        <v>30</v>
      </c>
      <c r="J11" s="16">
        <v>45964</v>
      </c>
      <c r="K11">
        <v>3</v>
      </c>
      <c r="N11" s="16">
        <v>45981</v>
      </c>
      <c r="O11">
        <v>5</v>
      </c>
      <c r="R11" s="16">
        <v>46001</v>
      </c>
      <c r="S11">
        <v>6</v>
      </c>
      <c r="X11" t="s">
        <v>255</v>
      </c>
      <c r="Z11">
        <v>24</v>
      </c>
    </row>
    <row r="12" spans="1:26" x14ac:dyDescent="0.25">
      <c r="A12" s="17">
        <v>35426</v>
      </c>
      <c r="B12" s="2" t="s">
        <v>131</v>
      </c>
      <c r="C12">
        <v>30</v>
      </c>
      <c r="J12" s="16">
        <v>45965</v>
      </c>
      <c r="K12">
        <v>6</v>
      </c>
      <c r="N12" s="16">
        <v>45982</v>
      </c>
      <c r="O12">
        <v>5</v>
      </c>
      <c r="R12" s="16">
        <v>46002</v>
      </c>
      <c r="S12">
        <v>6</v>
      </c>
      <c r="Y12" s="16">
        <v>46043</v>
      </c>
      <c r="Z12">
        <v>6</v>
      </c>
    </row>
    <row r="13" spans="1:26" x14ac:dyDescent="0.25">
      <c r="B13" s="16">
        <v>45833</v>
      </c>
      <c r="C13">
        <v>6</v>
      </c>
      <c r="J13" s="16">
        <v>45966</v>
      </c>
      <c r="K13">
        <v>6</v>
      </c>
      <c r="N13" s="16"/>
      <c r="O13">
        <f>SUM(O10:O12)</f>
        <v>12</v>
      </c>
      <c r="S13">
        <f>SUM(S9:S12)</f>
        <v>24</v>
      </c>
      <c r="Y13" s="16">
        <v>46050</v>
      </c>
      <c r="Z13">
        <v>6</v>
      </c>
    </row>
    <row r="14" spans="1:26" x14ac:dyDescent="0.25">
      <c r="B14" s="16">
        <v>45834</v>
      </c>
      <c r="C14">
        <v>0</v>
      </c>
      <c r="D14">
        <v>34924</v>
      </c>
      <c r="J14" s="16">
        <v>45967</v>
      </c>
      <c r="K14">
        <v>6</v>
      </c>
      <c r="V14">
        <f>SUM(V3:V13)</f>
        <v>11</v>
      </c>
      <c r="Y14" s="16">
        <v>46051</v>
      </c>
      <c r="Z14">
        <v>6</v>
      </c>
    </row>
    <row r="15" spans="1:26" x14ac:dyDescent="0.25">
      <c r="B15" s="16">
        <v>45835</v>
      </c>
      <c r="C15">
        <v>6</v>
      </c>
      <c r="J15" s="16">
        <v>45973</v>
      </c>
      <c r="K15">
        <v>3</v>
      </c>
      <c r="M15" t="s">
        <v>226</v>
      </c>
      <c r="O15">
        <v>26</v>
      </c>
      <c r="Y15" s="16">
        <v>46052</v>
      </c>
      <c r="Z15">
        <v>6</v>
      </c>
    </row>
    <row r="16" spans="1:26" x14ac:dyDescent="0.25">
      <c r="B16" s="16">
        <v>45838</v>
      </c>
      <c r="C16">
        <v>0</v>
      </c>
      <c r="D16">
        <v>34924</v>
      </c>
      <c r="K16">
        <f>SUM(K11:K15)</f>
        <v>24</v>
      </c>
      <c r="N16" s="16">
        <v>45985</v>
      </c>
      <c r="O16">
        <v>6</v>
      </c>
      <c r="Q16" t="s">
        <v>241</v>
      </c>
      <c r="S16">
        <v>30</v>
      </c>
      <c r="U16" t="s">
        <v>232</v>
      </c>
      <c r="V16">
        <v>18</v>
      </c>
      <c r="Z16">
        <f>SUM(Z12:Z15)</f>
        <v>24</v>
      </c>
    </row>
    <row r="17" spans="1:26" x14ac:dyDescent="0.25">
      <c r="B17" s="16">
        <v>45839</v>
      </c>
      <c r="C17">
        <v>6</v>
      </c>
      <c r="I17" t="s">
        <v>199</v>
      </c>
      <c r="K17">
        <v>12</v>
      </c>
      <c r="N17" s="16">
        <v>45986</v>
      </c>
      <c r="O17">
        <v>6</v>
      </c>
      <c r="R17" s="16">
        <v>46003</v>
      </c>
      <c r="S17">
        <v>6</v>
      </c>
      <c r="U17" s="16">
        <v>46014</v>
      </c>
      <c r="V17">
        <v>6</v>
      </c>
      <c r="X17" t="s">
        <v>254</v>
      </c>
      <c r="Z17">
        <v>12</v>
      </c>
    </row>
    <row r="18" spans="1:26" x14ac:dyDescent="0.25">
      <c r="B18" s="16">
        <v>45847</v>
      </c>
      <c r="C18">
        <v>6</v>
      </c>
      <c r="J18" s="16">
        <v>45972</v>
      </c>
      <c r="K18">
        <v>6</v>
      </c>
      <c r="N18" s="16">
        <v>45987</v>
      </c>
      <c r="O18">
        <v>6</v>
      </c>
      <c r="R18" s="16">
        <v>46006</v>
      </c>
      <c r="S18">
        <v>6</v>
      </c>
      <c r="U18" s="16">
        <v>46015</v>
      </c>
      <c r="V18">
        <v>6</v>
      </c>
      <c r="Y18" s="16">
        <v>46044</v>
      </c>
      <c r="Z18">
        <v>6</v>
      </c>
    </row>
    <row r="19" spans="1:26" x14ac:dyDescent="0.25">
      <c r="B19" s="16">
        <v>45848</v>
      </c>
      <c r="C19">
        <v>6</v>
      </c>
      <c r="J19" s="16">
        <v>45971</v>
      </c>
      <c r="K19">
        <v>6</v>
      </c>
      <c r="N19" s="16">
        <v>45994</v>
      </c>
      <c r="O19">
        <v>6</v>
      </c>
      <c r="R19" s="16">
        <v>46007</v>
      </c>
      <c r="S19">
        <v>6</v>
      </c>
      <c r="U19" s="16">
        <v>46016</v>
      </c>
      <c r="V19">
        <v>0</v>
      </c>
      <c r="Y19" s="16">
        <v>46045</v>
      </c>
      <c r="Z19">
        <v>6</v>
      </c>
    </row>
    <row r="20" spans="1:26" x14ac:dyDescent="0.25">
      <c r="B20" s="16"/>
      <c r="O20">
        <f>SUM(O16:O19)</f>
        <v>24</v>
      </c>
      <c r="R20" s="16">
        <v>46008</v>
      </c>
      <c r="S20">
        <v>4</v>
      </c>
      <c r="V20">
        <f>SUM(V17:V19)</f>
        <v>12</v>
      </c>
      <c r="Z20">
        <f>SUM(Z18:Z19)</f>
        <v>12</v>
      </c>
    </row>
    <row r="21" spans="1:26" x14ac:dyDescent="0.25">
      <c r="C21">
        <f>SUM(C13:C20)</f>
        <v>30</v>
      </c>
      <c r="R21" s="16">
        <v>46009</v>
      </c>
      <c r="S21">
        <v>4</v>
      </c>
      <c r="X21" t="s">
        <v>296</v>
      </c>
      <c r="Y21">
        <v>41</v>
      </c>
    </row>
    <row r="22" spans="1:26" x14ac:dyDescent="0.25">
      <c r="R22" s="16">
        <v>46010</v>
      </c>
      <c r="S22">
        <v>4</v>
      </c>
      <c r="U22" t="s">
        <v>270</v>
      </c>
      <c r="V22">
        <v>40</v>
      </c>
      <c r="X22" s="16">
        <v>46090</v>
      </c>
      <c r="Y22">
        <v>6</v>
      </c>
    </row>
    <row r="23" spans="1:26" x14ac:dyDescent="0.25">
      <c r="S23">
        <f>SUM(S17:S22)</f>
        <v>30</v>
      </c>
      <c r="U23" s="16">
        <v>46055</v>
      </c>
      <c r="V23">
        <v>6</v>
      </c>
      <c r="X23" s="16">
        <v>46091</v>
      </c>
      <c r="Y23">
        <v>5</v>
      </c>
    </row>
    <row r="24" spans="1:26" x14ac:dyDescent="0.25">
      <c r="A24" s="17">
        <v>35532</v>
      </c>
      <c r="C24">
        <v>30</v>
      </c>
      <c r="E24" s="17">
        <v>35594</v>
      </c>
      <c r="G24">
        <v>30</v>
      </c>
      <c r="I24">
        <v>35629</v>
      </c>
      <c r="K24">
        <v>80</v>
      </c>
      <c r="L24">
        <v>35636</v>
      </c>
      <c r="N24">
        <v>6</v>
      </c>
      <c r="O24">
        <v>36017</v>
      </c>
      <c r="Q24">
        <v>30</v>
      </c>
      <c r="U24" s="16">
        <v>46056</v>
      </c>
      <c r="V24">
        <v>6</v>
      </c>
      <c r="X24" s="16">
        <v>46093</v>
      </c>
      <c r="Y24">
        <v>3</v>
      </c>
    </row>
    <row r="25" spans="1:26" x14ac:dyDescent="0.25">
      <c r="B25" s="16">
        <v>45849</v>
      </c>
      <c r="C25">
        <v>6</v>
      </c>
      <c r="F25" s="16">
        <v>45860</v>
      </c>
      <c r="G25">
        <v>4</v>
      </c>
      <c r="J25" s="16">
        <v>45866</v>
      </c>
      <c r="K25">
        <v>4</v>
      </c>
      <c r="M25" s="16">
        <v>45867</v>
      </c>
      <c r="N25">
        <v>5</v>
      </c>
      <c r="P25" s="16">
        <v>45922</v>
      </c>
      <c r="Q25">
        <v>6</v>
      </c>
      <c r="U25" s="16">
        <v>46069</v>
      </c>
      <c r="V25">
        <v>6</v>
      </c>
      <c r="X25" s="16">
        <v>46094</v>
      </c>
      <c r="Y25">
        <v>5</v>
      </c>
    </row>
    <row r="26" spans="1:26" x14ac:dyDescent="0.25">
      <c r="B26" s="16">
        <v>45852</v>
      </c>
      <c r="C26">
        <v>6</v>
      </c>
      <c r="F26" s="16">
        <v>45861</v>
      </c>
      <c r="G26">
        <v>4</v>
      </c>
      <c r="J26" s="16">
        <v>45867</v>
      </c>
      <c r="K26">
        <v>0</v>
      </c>
      <c r="M26" s="16">
        <v>45883</v>
      </c>
      <c r="N26">
        <v>1</v>
      </c>
      <c r="P26" s="16">
        <v>45923</v>
      </c>
      <c r="Q26">
        <v>6</v>
      </c>
      <c r="U26" s="16">
        <v>46084</v>
      </c>
      <c r="V26">
        <v>6</v>
      </c>
      <c r="X26" s="16">
        <v>46097</v>
      </c>
      <c r="Y26">
        <v>6</v>
      </c>
    </row>
    <row r="27" spans="1:26" x14ac:dyDescent="0.25">
      <c r="B27" s="16">
        <v>45853</v>
      </c>
      <c r="C27">
        <v>6</v>
      </c>
      <c r="F27" s="16">
        <v>45862</v>
      </c>
      <c r="G27">
        <v>6</v>
      </c>
      <c r="J27" s="16">
        <v>45868</v>
      </c>
      <c r="K27">
        <v>6</v>
      </c>
      <c r="L27">
        <v>35677</v>
      </c>
      <c r="N27">
        <v>8</v>
      </c>
      <c r="P27" s="16">
        <v>45924</v>
      </c>
      <c r="Q27">
        <v>6</v>
      </c>
      <c r="U27" s="16">
        <v>46086</v>
      </c>
      <c r="V27">
        <v>6</v>
      </c>
      <c r="X27" s="16">
        <v>46098</v>
      </c>
      <c r="Y27">
        <v>6</v>
      </c>
    </row>
    <row r="28" spans="1:26" x14ac:dyDescent="0.25">
      <c r="B28" s="16">
        <v>45854</v>
      </c>
      <c r="C28">
        <v>6</v>
      </c>
      <c r="F28" s="16">
        <v>45863</v>
      </c>
      <c r="G28">
        <v>4</v>
      </c>
      <c r="J28" s="16">
        <v>45869</v>
      </c>
      <c r="K28">
        <v>0</v>
      </c>
      <c r="L28" t="s">
        <v>143</v>
      </c>
      <c r="M28" s="16">
        <v>45874</v>
      </c>
      <c r="N28">
        <v>6</v>
      </c>
      <c r="P28" s="16">
        <v>45925</v>
      </c>
      <c r="Q28">
        <v>6</v>
      </c>
      <c r="U28" s="16">
        <v>46111</v>
      </c>
      <c r="V28">
        <v>4</v>
      </c>
      <c r="X28" s="16">
        <v>46099</v>
      </c>
      <c r="Y28">
        <v>4</v>
      </c>
    </row>
    <row r="29" spans="1:26" x14ac:dyDescent="0.25">
      <c r="B29" s="16">
        <v>45890</v>
      </c>
      <c r="C29">
        <v>6</v>
      </c>
      <c r="F29" s="16">
        <v>45954</v>
      </c>
      <c r="G29">
        <v>6</v>
      </c>
      <c r="J29" s="16">
        <v>45870</v>
      </c>
      <c r="K29">
        <v>6</v>
      </c>
      <c r="M29" s="16">
        <v>45882</v>
      </c>
      <c r="N29">
        <v>2</v>
      </c>
      <c r="P29" s="16">
        <v>45937</v>
      </c>
      <c r="Q29">
        <v>6</v>
      </c>
      <c r="U29" s="16">
        <v>46118</v>
      </c>
      <c r="V29">
        <v>6</v>
      </c>
      <c r="X29" s="16">
        <v>46101</v>
      </c>
      <c r="Y29">
        <v>6</v>
      </c>
    </row>
    <row r="30" spans="1:26" x14ac:dyDescent="0.25">
      <c r="F30" s="16">
        <v>45961</v>
      </c>
      <c r="G30">
        <v>6</v>
      </c>
      <c r="J30" s="16">
        <v>45873</v>
      </c>
      <c r="K30">
        <v>6</v>
      </c>
      <c r="M30" s="16">
        <v>45888</v>
      </c>
      <c r="N30">
        <v>4</v>
      </c>
      <c r="V30">
        <f>SUM(V23:V29)</f>
        <v>40</v>
      </c>
      <c r="Y30" s="2">
        <f>SUM(Y22:Y29)</f>
        <v>41</v>
      </c>
    </row>
    <row r="31" spans="1:26" x14ac:dyDescent="0.25">
      <c r="C31">
        <f>SUM(C25:C30)</f>
        <v>30</v>
      </c>
      <c r="J31" s="16">
        <v>45875</v>
      </c>
      <c r="K31">
        <v>6</v>
      </c>
      <c r="L31">
        <v>35717</v>
      </c>
      <c r="N31">
        <v>12</v>
      </c>
      <c r="Q31">
        <f>SUM(Q25:Q30)</f>
        <v>30</v>
      </c>
      <c r="U31" t="s">
        <v>363</v>
      </c>
      <c r="V31">
        <v>40</v>
      </c>
      <c r="X31" t="s">
        <v>275</v>
      </c>
      <c r="Y31">
        <v>18</v>
      </c>
    </row>
    <row r="32" spans="1:26" x14ac:dyDescent="0.25">
      <c r="G32">
        <f>SUM(G25:G30)</f>
        <v>30</v>
      </c>
      <c r="J32" s="16">
        <v>45876</v>
      </c>
      <c r="K32">
        <v>6</v>
      </c>
      <c r="M32" s="16">
        <v>45881</v>
      </c>
      <c r="N32">
        <v>6</v>
      </c>
      <c r="U32" s="16">
        <v>46104</v>
      </c>
      <c r="V32">
        <v>6</v>
      </c>
      <c r="X32" s="16">
        <v>46070</v>
      </c>
      <c r="Y32">
        <v>4</v>
      </c>
    </row>
    <row r="33" spans="5:25" x14ac:dyDescent="0.25">
      <c r="E33" s="17">
        <v>35596</v>
      </c>
      <c r="G33">
        <v>30</v>
      </c>
      <c r="J33" s="16">
        <v>45877</v>
      </c>
      <c r="K33">
        <v>6</v>
      </c>
      <c r="M33" s="16">
        <v>45909</v>
      </c>
      <c r="N33">
        <v>6</v>
      </c>
      <c r="O33" s="24">
        <v>36048</v>
      </c>
      <c r="Q33">
        <v>30</v>
      </c>
      <c r="S33" t="s">
        <v>271</v>
      </c>
      <c r="T33">
        <v>12</v>
      </c>
      <c r="U33" s="16">
        <v>46105</v>
      </c>
      <c r="V33">
        <v>6</v>
      </c>
      <c r="X33" s="16">
        <v>46071</v>
      </c>
      <c r="Y33">
        <v>4</v>
      </c>
    </row>
    <row r="34" spans="5:25" x14ac:dyDescent="0.25">
      <c r="F34" s="16">
        <v>45860</v>
      </c>
      <c r="G34">
        <v>4</v>
      </c>
      <c r="J34" s="16">
        <v>45882</v>
      </c>
      <c r="K34">
        <v>4</v>
      </c>
      <c r="P34" s="16">
        <v>45939</v>
      </c>
      <c r="Q34">
        <v>6</v>
      </c>
      <c r="S34" s="16">
        <v>46057</v>
      </c>
      <c r="T34">
        <v>6</v>
      </c>
      <c r="X34" s="16">
        <v>46072</v>
      </c>
      <c r="Y34">
        <v>6</v>
      </c>
    </row>
    <row r="35" spans="5:25" x14ac:dyDescent="0.25">
      <c r="F35" s="16">
        <v>45861</v>
      </c>
      <c r="G35">
        <v>4</v>
      </c>
      <c r="J35" s="16">
        <v>45902</v>
      </c>
      <c r="K35">
        <v>2</v>
      </c>
      <c r="P35" s="16">
        <v>46035</v>
      </c>
      <c r="Q35">
        <v>4</v>
      </c>
      <c r="S35" s="16">
        <v>46058</v>
      </c>
      <c r="T35">
        <v>6</v>
      </c>
      <c r="X35" s="16">
        <v>46073</v>
      </c>
      <c r="Y35">
        <v>4</v>
      </c>
    </row>
    <row r="36" spans="5:25" x14ac:dyDescent="0.25">
      <c r="F36" s="16">
        <v>45862</v>
      </c>
      <c r="G36">
        <v>6</v>
      </c>
      <c r="J36" s="16">
        <v>45910</v>
      </c>
      <c r="K36">
        <v>6</v>
      </c>
      <c r="P36" s="16">
        <v>46036</v>
      </c>
      <c r="Q36">
        <v>6</v>
      </c>
      <c r="T36">
        <f>SUM(T34:T35)</f>
        <v>12</v>
      </c>
      <c r="Y36">
        <f>SUM(Y32:Y35)</f>
        <v>18</v>
      </c>
    </row>
    <row r="37" spans="5:25" x14ac:dyDescent="0.25">
      <c r="F37" s="16">
        <v>45863</v>
      </c>
      <c r="G37">
        <v>4</v>
      </c>
      <c r="J37" s="16">
        <v>45911</v>
      </c>
      <c r="K37">
        <v>6</v>
      </c>
      <c r="P37" s="16">
        <v>46041</v>
      </c>
      <c r="Q37">
        <v>6</v>
      </c>
      <c r="S37" t="s">
        <v>273</v>
      </c>
      <c r="T37">
        <v>24</v>
      </c>
      <c r="V37">
        <f>SUM(V32:V36)</f>
        <v>12</v>
      </c>
      <c r="X37" t="s">
        <v>279</v>
      </c>
      <c r="Y37">
        <v>12</v>
      </c>
    </row>
    <row r="38" spans="5:25" x14ac:dyDescent="0.25">
      <c r="F38" s="16">
        <v>45864</v>
      </c>
      <c r="J38" s="16">
        <v>45912</v>
      </c>
      <c r="K38">
        <v>6</v>
      </c>
      <c r="P38" s="16">
        <v>46042</v>
      </c>
      <c r="Q38">
        <v>6</v>
      </c>
      <c r="S38" s="16">
        <v>46063</v>
      </c>
      <c r="T38">
        <v>6</v>
      </c>
      <c r="X38" s="16">
        <v>46076</v>
      </c>
      <c r="Y38">
        <v>6</v>
      </c>
    </row>
    <row r="39" spans="5:25" x14ac:dyDescent="0.25">
      <c r="G39">
        <f>SUM(G34:G38)</f>
        <v>18</v>
      </c>
      <c r="J39" s="16">
        <v>45973</v>
      </c>
      <c r="K39">
        <v>2</v>
      </c>
      <c r="Q39">
        <f>SUM(Q34:Q38)</f>
        <v>28</v>
      </c>
      <c r="S39" s="16">
        <v>46064</v>
      </c>
      <c r="T39">
        <v>6</v>
      </c>
      <c r="U39" t="s">
        <v>369</v>
      </c>
      <c r="V39">
        <v>12</v>
      </c>
      <c r="X39" s="16">
        <v>46077</v>
      </c>
      <c r="Y39">
        <v>6</v>
      </c>
    </row>
    <row r="40" spans="5:25" x14ac:dyDescent="0.25">
      <c r="L40">
        <v>35860</v>
      </c>
      <c r="N40">
        <v>6</v>
      </c>
      <c r="O40">
        <v>36084</v>
      </c>
      <c r="Q40">
        <v>18</v>
      </c>
      <c r="S40" s="16">
        <v>46065</v>
      </c>
      <c r="T40">
        <v>6</v>
      </c>
      <c r="U40" s="16">
        <v>46106</v>
      </c>
      <c r="V40">
        <v>3</v>
      </c>
      <c r="Y40">
        <f>SUM(Y38:Y39)</f>
        <v>12</v>
      </c>
    </row>
    <row r="41" spans="5:25" x14ac:dyDescent="0.25">
      <c r="E41">
        <v>35596</v>
      </c>
      <c r="G41">
        <v>12</v>
      </c>
      <c r="K41">
        <f>SUM(K25:K40)</f>
        <v>66</v>
      </c>
      <c r="M41" s="16">
        <v>45908</v>
      </c>
      <c r="N41">
        <v>6</v>
      </c>
      <c r="P41" s="16">
        <v>45940</v>
      </c>
      <c r="Q41">
        <v>6</v>
      </c>
      <c r="S41" s="16">
        <v>46066</v>
      </c>
      <c r="T41">
        <v>6</v>
      </c>
      <c r="U41" s="16">
        <v>46107</v>
      </c>
      <c r="V41">
        <v>3</v>
      </c>
      <c r="X41" t="s">
        <v>509</v>
      </c>
      <c r="Y41">
        <v>18</v>
      </c>
    </row>
    <row r="42" spans="5:25" x14ac:dyDescent="0.25">
      <c r="G42">
        <v>5</v>
      </c>
      <c r="I42">
        <v>35700</v>
      </c>
      <c r="K42">
        <v>40</v>
      </c>
      <c r="P42" s="16">
        <v>45943</v>
      </c>
      <c r="Q42">
        <v>6</v>
      </c>
      <c r="S42" t="s">
        <v>272</v>
      </c>
      <c r="T42">
        <v>12</v>
      </c>
      <c r="U42" s="16">
        <v>46108</v>
      </c>
      <c r="V42">
        <v>6</v>
      </c>
      <c r="X42" s="16">
        <v>46120</v>
      </c>
      <c r="Y42">
        <v>6</v>
      </c>
    </row>
    <row r="43" spans="5:25" x14ac:dyDescent="0.25">
      <c r="F43" s="16">
        <v>45889</v>
      </c>
      <c r="G43">
        <v>5</v>
      </c>
      <c r="J43" s="16">
        <v>45880</v>
      </c>
      <c r="K43">
        <v>6</v>
      </c>
      <c r="L43">
        <v>35922</v>
      </c>
      <c r="N43">
        <v>100</v>
      </c>
      <c r="P43" s="16">
        <v>45953</v>
      </c>
      <c r="Q43">
        <v>6</v>
      </c>
      <c r="S43" s="16">
        <v>46059</v>
      </c>
      <c r="T43">
        <v>6</v>
      </c>
      <c r="V43">
        <f>SUM(V40:V42)</f>
        <v>12</v>
      </c>
      <c r="X43" s="16">
        <v>46121</v>
      </c>
      <c r="Y43">
        <f t="shared" ref="Y42:Y45" si="0">SUM(Y42)</f>
        <v>6</v>
      </c>
    </row>
    <row r="44" spans="5:25" x14ac:dyDescent="0.25">
      <c r="J44" s="16">
        <v>45883</v>
      </c>
      <c r="K44">
        <v>5</v>
      </c>
      <c r="M44" s="16">
        <v>45915</v>
      </c>
      <c r="N44">
        <v>6</v>
      </c>
      <c r="Q44">
        <f>SUM(Q41:Q43)</f>
        <v>18</v>
      </c>
      <c r="S44" s="16">
        <v>46062</v>
      </c>
      <c r="T44">
        <v>6</v>
      </c>
      <c r="U44" t="s">
        <v>373</v>
      </c>
      <c r="V44">
        <v>18</v>
      </c>
      <c r="X44" s="16">
        <v>46122</v>
      </c>
      <c r="Y44">
        <f t="shared" si="0"/>
        <v>6</v>
      </c>
    </row>
    <row r="45" spans="5:25" x14ac:dyDescent="0.25">
      <c r="J45" s="16">
        <v>45898</v>
      </c>
      <c r="K45">
        <v>6</v>
      </c>
      <c r="M45" s="16">
        <v>45916</v>
      </c>
      <c r="N45">
        <v>6</v>
      </c>
      <c r="T45">
        <f>SUM(T43:T44)</f>
        <v>12</v>
      </c>
      <c r="U45" s="16">
        <v>46113</v>
      </c>
      <c r="V45">
        <v>6</v>
      </c>
      <c r="Y45">
        <f>SUM(Y44)</f>
        <v>6</v>
      </c>
    </row>
    <row r="46" spans="5:25" x14ac:dyDescent="0.25">
      <c r="E46">
        <v>35756</v>
      </c>
      <c r="G46">
        <v>30</v>
      </c>
      <c r="J46" s="16">
        <v>45902</v>
      </c>
      <c r="K46">
        <v>4</v>
      </c>
      <c r="M46" s="16">
        <v>45917</v>
      </c>
      <c r="N46">
        <v>6</v>
      </c>
      <c r="S46" t="s">
        <v>274</v>
      </c>
      <c r="T46">
        <v>12</v>
      </c>
      <c r="U46" s="16">
        <v>46114</v>
      </c>
      <c r="V46">
        <v>6</v>
      </c>
    </row>
    <row r="47" spans="5:25" x14ac:dyDescent="0.25">
      <c r="F47" s="16">
        <v>45891</v>
      </c>
      <c r="G47">
        <v>6</v>
      </c>
      <c r="J47" s="16">
        <v>45903</v>
      </c>
      <c r="K47">
        <v>5</v>
      </c>
      <c r="M47" s="16">
        <v>45918</v>
      </c>
      <c r="N47">
        <v>6</v>
      </c>
      <c r="S47" s="16">
        <v>46078</v>
      </c>
      <c r="T47">
        <v>6</v>
      </c>
      <c r="U47" s="16">
        <v>46115</v>
      </c>
      <c r="V47">
        <v>6</v>
      </c>
    </row>
    <row r="48" spans="5:25" x14ac:dyDescent="0.25">
      <c r="F48" s="16">
        <v>45894</v>
      </c>
      <c r="G48">
        <v>6</v>
      </c>
      <c r="J48" s="16">
        <v>45904</v>
      </c>
      <c r="K48">
        <v>6</v>
      </c>
      <c r="M48" s="16">
        <v>45919</v>
      </c>
      <c r="N48">
        <v>6</v>
      </c>
      <c r="S48" s="16">
        <v>46079</v>
      </c>
      <c r="T48">
        <v>6</v>
      </c>
      <c r="V48">
        <f>SUM(V45:V47)</f>
        <v>18</v>
      </c>
    </row>
    <row r="49" spans="6:20" x14ac:dyDescent="0.25">
      <c r="F49" s="16">
        <v>45895</v>
      </c>
      <c r="G49">
        <v>6</v>
      </c>
      <c r="J49" s="16">
        <v>45905</v>
      </c>
      <c r="K49">
        <v>6</v>
      </c>
      <c r="M49" s="16">
        <v>45926</v>
      </c>
      <c r="N49">
        <v>6</v>
      </c>
      <c r="T49">
        <f>SUM(T47:T48)</f>
        <v>12</v>
      </c>
    </row>
    <row r="50" spans="6:20" x14ac:dyDescent="0.25">
      <c r="F50" s="16">
        <v>45897</v>
      </c>
      <c r="G50">
        <v>6</v>
      </c>
      <c r="J50" s="16"/>
      <c r="K50">
        <v>2</v>
      </c>
      <c r="M50" s="16">
        <v>45929</v>
      </c>
      <c r="N50">
        <v>6</v>
      </c>
    </row>
    <row r="51" spans="6:20" x14ac:dyDescent="0.25">
      <c r="F51" s="16">
        <v>45938</v>
      </c>
      <c r="G51">
        <v>6</v>
      </c>
      <c r="M51" s="16">
        <v>45930</v>
      </c>
      <c r="N51">
        <v>6</v>
      </c>
    </row>
    <row r="52" spans="6:20" x14ac:dyDescent="0.25">
      <c r="G52">
        <f>SUM(G47:G51)</f>
        <v>30</v>
      </c>
      <c r="M52" s="16">
        <v>45931</v>
      </c>
      <c r="N52">
        <v>6</v>
      </c>
    </row>
    <row r="53" spans="6:20" x14ac:dyDescent="0.25">
      <c r="K53">
        <f>SUM(K43:K52)</f>
        <v>40</v>
      </c>
      <c r="M53" s="16">
        <v>45933</v>
      </c>
      <c r="N53">
        <v>6</v>
      </c>
    </row>
    <row r="54" spans="6:20" x14ac:dyDescent="0.25">
      <c r="M54" s="16">
        <v>45936</v>
      </c>
      <c r="N54">
        <v>6</v>
      </c>
    </row>
    <row r="55" spans="6:20" x14ac:dyDescent="0.25">
      <c r="M55" s="16">
        <v>45937</v>
      </c>
      <c r="N55">
        <v>0</v>
      </c>
    </row>
    <row r="56" spans="6:20" x14ac:dyDescent="0.25">
      <c r="M56" s="16">
        <v>45938</v>
      </c>
      <c r="N56">
        <v>0</v>
      </c>
    </row>
    <row r="57" spans="6:20" x14ac:dyDescent="0.25">
      <c r="M57" s="16">
        <v>45944</v>
      </c>
      <c r="N57">
        <v>6</v>
      </c>
    </row>
    <row r="58" spans="6:20" x14ac:dyDescent="0.25">
      <c r="M58" s="16">
        <v>45945</v>
      </c>
      <c r="N58">
        <v>4</v>
      </c>
    </row>
    <row r="59" spans="6:20" x14ac:dyDescent="0.25">
      <c r="M59" s="16">
        <v>45951</v>
      </c>
      <c r="N59">
        <v>6</v>
      </c>
    </row>
    <row r="60" spans="6:20" x14ac:dyDescent="0.25">
      <c r="M60" s="16">
        <v>45952</v>
      </c>
      <c r="N60">
        <v>6</v>
      </c>
    </row>
    <row r="61" spans="6:20" x14ac:dyDescent="0.25">
      <c r="N61">
        <v>6</v>
      </c>
    </row>
    <row r="62" spans="6:20" x14ac:dyDescent="0.25">
      <c r="N62">
        <v>6</v>
      </c>
    </row>
    <row r="66" spans="14:14" x14ac:dyDescent="0.25">
      <c r="N66">
        <f>SUM(N44:N65)</f>
        <v>100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3873-FB1C-4237-B21E-9BB3ACF9ED98}">
  <dimension ref="A4:R48"/>
  <sheetViews>
    <sheetView workbookViewId="0">
      <selection activeCell="O14" sqref="O14"/>
    </sheetView>
  </sheetViews>
  <sheetFormatPr defaultRowHeight="15" x14ac:dyDescent="0.25"/>
  <cols>
    <col min="2" max="2" width="26" bestFit="1" customWidth="1"/>
    <col min="11" max="12" width="14.5703125" bestFit="1" customWidth="1"/>
    <col min="13" max="13" width="23.140625" bestFit="1" customWidth="1"/>
    <col min="14" max="14" width="16.28515625" bestFit="1" customWidth="1"/>
  </cols>
  <sheetData>
    <row r="4" spans="1:13" x14ac:dyDescent="0.25">
      <c r="A4" s="3" t="s">
        <v>177</v>
      </c>
      <c r="B4" s="3" t="s">
        <v>165</v>
      </c>
      <c r="C4" s="3" t="s">
        <v>164</v>
      </c>
    </row>
    <row r="5" spans="1:13" x14ac:dyDescent="0.25">
      <c r="A5" s="4">
        <v>1</v>
      </c>
      <c r="B5" s="4" t="s">
        <v>166</v>
      </c>
      <c r="C5" s="4">
        <v>24</v>
      </c>
    </row>
    <row r="6" spans="1:13" x14ac:dyDescent="0.25">
      <c r="A6" s="4">
        <v>2</v>
      </c>
      <c r="B6" s="4" t="s">
        <v>167</v>
      </c>
      <c r="C6" s="4">
        <v>24</v>
      </c>
      <c r="K6" t="s">
        <v>181</v>
      </c>
      <c r="L6" t="s">
        <v>182</v>
      </c>
      <c r="M6" t="s">
        <v>183</v>
      </c>
    </row>
    <row r="7" spans="1:13" x14ac:dyDescent="0.25">
      <c r="A7" s="4">
        <v>3</v>
      </c>
      <c r="B7" s="4" t="s">
        <v>168</v>
      </c>
      <c r="C7" s="4">
        <v>18</v>
      </c>
      <c r="K7">
        <v>248617</v>
      </c>
      <c r="L7" s="16">
        <v>45888</v>
      </c>
      <c r="M7">
        <v>7248385</v>
      </c>
    </row>
    <row r="8" spans="1:13" x14ac:dyDescent="0.25">
      <c r="A8" s="4">
        <v>4</v>
      </c>
      <c r="B8" s="4" t="s">
        <v>169</v>
      </c>
      <c r="C8" s="4">
        <v>18</v>
      </c>
    </row>
    <row r="9" spans="1:13" x14ac:dyDescent="0.25">
      <c r="A9" s="4">
        <v>5</v>
      </c>
      <c r="B9" s="4" t="s">
        <v>170</v>
      </c>
      <c r="C9" s="4">
        <v>12</v>
      </c>
    </row>
    <row r="10" spans="1:13" x14ac:dyDescent="0.25">
      <c r="A10" s="4">
        <v>6</v>
      </c>
      <c r="B10" s="4" t="s">
        <v>171</v>
      </c>
      <c r="C10" s="4">
        <v>30</v>
      </c>
    </row>
    <row r="11" spans="1:13" x14ac:dyDescent="0.25">
      <c r="A11" s="4">
        <v>7</v>
      </c>
      <c r="B11" s="4" t="s">
        <v>172</v>
      </c>
      <c r="C11" s="4">
        <v>30</v>
      </c>
    </row>
    <row r="12" spans="1:13" x14ac:dyDescent="0.25">
      <c r="A12" s="4">
        <v>8</v>
      </c>
      <c r="B12" s="4" t="s">
        <v>173</v>
      </c>
      <c r="C12" s="4">
        <v>24</v>
      </c>
    </row>
    <row r="13" spans="1:13" x14ac:dyDescent="0.25">
      <c r="A13" s="4">
        <v>9</v>
      </c>
      <c r="B13" s="4" t="s">
        <v>174</v>
      </c>
      <c r="C13" s="4">
        <v>24</v>
      </c>
      <c r="M13">
        <v>25000</v>
      </c>
    </row>
    <row r="14" spans="1:13" x14ac:dyDescent="0.25">
      <c r="A14" s="4">
        <v>10</v>
      </c>
      <c r="B14" s="4" t="s">
        <v>175</v>
      </c>
      <c r="C14" s="4">
        <v>40</v>
      </c>
      <c r="M14">
        <v>682500</v>
      </c>
    </row>
    <row r="15" spans="1:13" x14ac:dyDescent="0.25">
      <c r="A15" s="4">
        <v>11</v>
      </c>
      <c r="B15" s="4" t="s">
        <v>176</v>
      </c>
      <c r="C15" s="4">
        <v>24</v>
      </c>
      <c r="M15">
        <f>SUM(M13:M14)</f>
        <v>707500</v>
      </c>
    </row>
    <row r="16" spans="1:13" x14ac:dyDescent="0.25">
      <c r="A16" s="4"/>
      <c r="B16" s="4" t="s">
        <v>178</v>
      </c>
      <c r="C16" s="4">
        <v>24</v>
      </c>
    </row>
    <row r="17" spans="1:13" x14ac:dyDescent="0.25">
      <c r="A17" s="4"/>
      <c r="B17" s="4" t="s">
        <v>179</v>
      </c>
      <c r="C17" s="4">
        <v>12</v>
      </c>
    </row>
    <row r="18" spans="1:13" x14ac:dyDescent="0.25">
      <c r="A18" s="4"/>
      <c r="B18" s="3" t="s">
        <v>180</v>
      </c>
      <c r="C18" s="3">
        <f>SUM(C5:C17)</f>
        <v>304</v>
      </c>
    </row>
    <row r="27" spans="1:13" x14ac:dyDescent="0.25">
      <c r="I27">
        <v>25</v>
      </c>
      <c r="J27">
        <v>1</v>
      </c>
      <c r="K27" s="18">
        <v>43397.407662187499</v>
      </c>
      <c r="L27" s="18">
        <v>43619.145982488422</v>
      </c>
      <c r="M27" t="s">
        <v>188</v>
      </c>
    </row>
    <row r="28" spans="1:13" x14ac:dyDescent="0.25">
      <c r="I28">
        <v>55</v>
      </c>
      <c r="J28">
        <v>1</v>
      </c>
      <c r="K28" s="18">
        <v>43398.404658020831</v>
      </c>
      <c r="L28" s="18">
        <v>43398.410876041664</v>
      </c>
      <c r="M28" t="s">
        <v>189</v>
      </c>
    </row>
    <row r="29" spans="1:13" x14ac:dyDescent="0.25">
      <c r="I29">
        <v>110</v>
      </c>
      <c r="J29">
        <v>1</v>
      </c>
      <c r="K29" s="18">
        <v>43401.363729513891</v>
      </c>
      <c r="L29" s="18">
        <v>43656.419438113429</v>
      </c>
      <c r="M29" t="s">
        <v>190</v>
      </c>
    </row>
    <row r="30" spans="1:13" x14ac:dyDescent="0.25">
      <c r="I30">
        <v>1531</v>
      </c>
      <c r="J30">
        <v>1</v>
      </c>
      <c r="K30" s="18">
        <v>45492.261336030089</v>
      </c>
      <c r="L30" s="18">
        <v>45517.199515775465</v>
      </c>
      <c r="M30" t="s">
        <v>188</v>
      </c>
    </row>
    <row r="31" spans="1:13" x14ac:dyDescent="0.25">
      <c r="I31">
        <v>1534</v>
      </c>
      <c r="J31">
        <v>1</v>
      </c>
      <c r="K31" s="18">
        <v>45516.15592986111</v>
      </c>
      <c r="L31" s="18">
        <v>45516.171285069446</v>
      </c>
      <c r="M31" t="s">
        <v>189</v>
      </c>
    </row>
    <row r="37" spans="9:18" x14ac:dyDescent="0.25">
      <c r="I37" t="s">
        <v>256</v>
      </c>
      <c r="J37" t="s">
        <v>257</v>
      </c>
      <c r="K37" t="s">
        <v>258</v>
      </c>
      <c r="L37" t="s">
        <v>259</v>
      </c>
      <c r="M37" t="s">
        <v>260</v>
      </c>
      <c r="N37" t="s">
        <v>261</v>
      </c>
      <c r="O37" t="s">
        <v>262</v>
      </c>
      <c r="P37" t="s">
        <v>263</v>
      </c>
      <c r="Q37" t="s">
        <v>264</v>
      </c>
      <c r="R37" t="s">
        <v>265</v>
      </c>
    </row>
    <row r="38" spans="9:18" x14ac:dyDescent="0.25">
      <c r="I38" s="19">
        <v>46028.336893634259</v>
      </c>
      <c r="J38">
        <v>8453</v>
      </c>
      <c r="K38" t="s">
        <v>266</v>
      </c>
      <c r="L38">
        <v>12184</v>
      </c>
      <c r="M38" s="18">
        <v>46028.297189004632</v>
      </c>
      <c r="N38" s="18">
        <v>46028.336893634259</v>
      </c>
      <c r="O38">
        <v>7</v>
      </c>
      <c r="P38" t="s">
        <v>267</v>
      </c>
      <c r="Q38" t="s">
        <v>268</v>
      </c>
      <c r="R38">
        <v>1</v>
      </c>
    </row>
    <row r="39" spans="9:18" x14ac:dyDescent="0.25">
      <c r="I39" s="19">
        <v>46028.337043368054</v>
      </c>
      <c r="J39">
        <v>8453</v>
      </c>
      <c r="K39" t="s">
        <v>266</v>
      </c>
      <c r="L39">
        <v>12184</v>
      </c>
      <c r="M39" s="18">
        <v>46028.297189004632</v>
      </c>
      <c r="N39" s="18">
        <v>46028.337043368054</v>
      </c>
      <c r="O39">
        <v>7</v>
      </c>
      <c r="P39" t="s">
        <v>267</v>
      </c>
      <c r="Q39" t="s">
        <v>268</v>
      </c>
      <c r="R39">
        <v>2</v>
      </c>
    </row>
    <row r="40" spans="9:18" x14ac:dyDescent="0.25">
      <c r="I40" s="19">
        <v>46030.387797569441</v>
      </c>
      <c r="J40">
        <v>8453</v>
      </c>
      <c r="K40" t="s">
        <v>266</v>
      </c>
      <c r="L40">
        <v>12184</v>
      </c>
      <c r="M40" s="18">
        <v>46028.297189004632</v>
      </c>
      <c r="N40" s="18">
        <v>46030.387797569441</v>
      </c>
      <c r="O40">
        <v>7</v>
      </c>
      <c r="P40" t="s">
        <v>267</v>
      </c>
      <c r="Q40" t="s">
        <v>268</v>
      </c>
      <c r="R40">
        <v>3</v>
      </c>
    </row>
    <row r="41" spans="9:18" x14ac:dyDescent="0.25">
      <c r="I41" s="19">
        <v>46030.524857326389</v>
      </c>
      <c r="J41">
        <v>8453</v>
      </c>
      <c r="K41" t="s">
        <v>269</v>
      </c>
      <c r="L41">
        <v>12184</v>
      </c>
      <c r="M41" s="18">
        <v>46028.297189004632</v>
      </c>
      <c r="N41" s="18">
        <v>46030.524857326389</v>
      </c>
      <c r="O41">
        <v>7</v>
      </c>
      <c r="P41" t="s">
        <v>267</v>
      </c>
      <c r="Q41" t="s">
        <v>268</v>
      </c>
      <c r="R41">
        <v>4</v>
      </c>
    </row>
    <row r="42" spans="9:18" x14ac:dyDescent="0.25">
      <c r="I42" s="19">
        <v>46030.541922534721</v>
      </c>
      <c r="J42">
        <v>8453</v>
      </c>
      <c r="K42" t="s">
        <v>269</v>
      </c>
      <c r="L42">
        <v>12184</v>
      </c>
      <c r="M42" s="18">
        <v>46028.297189004632</v>
      </c>
      <c r="N42" s="18">
        <v>46030.541922534721</v>
      </c>
      <c r="O42">
        <v>7</v>
      </c>
      <c r="P42" t="s">
        <v>267</v>
      </c>
      <c r="Q42" t="s">
        <v>268</v>
      </c>
      <c r="R42">
        <v>5</v>
      </c>
    </row>
    <row r="43" spans="9:18" x14ac:dyDescent="0.25">
      <c r="I43" s="19">
        <v>46041.458460798611</v>
      </c>
      <c r="J43">
        <v>8453</v>
      </c>
      <c r="K43" t="s">
        <v>266</v>
      </c>
      <c r="L43">
        <v>14100</v>
      </c>
      <c r="M43" s="18">
        <v>46028.297189004632</v>
      </c>
      <c r="N43" s="18">
        <v>46041.458460798611</v>
      </c>
      <c r="O43">
        <v>6</v>
      </c>
      <c r="P43" t="s">
        <v>267</v>
      </c>
      <c r="Q43" t="s">
        <v>268</v>
      </c>
      <c r="R43">
        <v>6</v>
      </c>
    </row>
    <row r="44" spans="9:18" x14ac:dyDescent="0.25">
      <c r="I44" s="19">
        <v>46041.45955107639</v>
      </c>
      <c r="J44">
        <v>8453</v>
      </c>
      <c r="K44" t="s">
        <v>266</v>
      </c>
      <c r="L44">
        <v>14100</v>
      </c>
      <c r="M44" s="18">
        <v>46028.297189004632</v>
      </c>
      <c r="N44" s="18">
        <v>46041.45955107639</v>
      </c>
      <c r="O44">
        <v>6</v>
      </c>
      <c r="P44" t="s">
        <v>267</v>
      </c>
      <c r="Q44" t="s">
        <v>268</v>
      </c>
      <c r="R44">
        <v>7</v>
      </c>
    </row>
    <row r="45" spans="9:18" x14ac:dyDescent="0.25">
      <c r="I45" s="19">
        <v>46041.46016574074</v>
      </c>
      <c r="J45">
        <v>8453</v>
      </c>
      <c r="K45" t="s">
        <v>266</v>
      </c>
      <c r="L45">
        <v>14100</v>
      </c>
      <c r="M45" s="18">
        <v>46028.297189004632</v>
      </c>
      <c r="N45" s="18">
        <v>46041.46016574074</v>
      </c>
      <c r="O45">
        <v>6</v>
      </c>
      <c r="P45" t="s">
        <v>267</v>
      </c>
      <c r="Q45" t="s">
        <v>268</v>
      </c>
      <c r="R45">
        <v>8</v>
      </c>
    </row>
    <row r="46" spans="9:18" x14ac:dyDescent="0.25">
      <c r="I46" s="19">
        <v>46041.460263506946</v>
      </c>
      <c r="J46">
        <v>8453</v>
      </c>
      <c r="K46" t="s">
        <v>266</v>
      </c>
      <c r="L46">
        <v>14100</v>
      </c>
      <c r="M46" s="18">
        <v>46028.297189004632</v>
      </c>
      <c r="N46" s="18">
        <v>46041.460263506946</v>
      </c>
      <c r="O46">
        <v>6</v>
      </c>
      <c r="P46" t="s">
        <v>267</v>
      </c>
      <c r="Q46" t="s">
        <v>268</v>
      </c>
      <c r="R46">
        <v>9</v>
      </c>
    </row>
    <row r="47" spans="9:18" x14ac:dyDescent="0.25">
      <c r="I47" s="19">
        <v>46043.411552349535</v>
      </c>
      <c r="J47">
        <v>8453</v>
      </c>
      <c r="K47" t="s">
        <v>266</v>
      </c>
      <c r="L47">
        <v>12184</v>
      </c>
      <c r="M47" s="18">
        <v>46028.297189004632</v>
      </c>
      <c r="N47" s="18">
        <v>46043.411552349535</v>
      </c>
      <c r="O47">
        <v>7</v>
      </c>
      <c r="P47" t="s">
        <v>267</v>
      </c>
      <c r="Q47" t="s">
        <v>268</v>
      </c>
      <c r="R47">
        <v>10</v>
      </c>
    </row>
    <row r="48" spans="9:18" x14ac:dyDescent="0.25">
      <c r="I48" s="19">
        <v>46048.568856215279</v>
      </c>
      <c r="J48">
        <v>8453</v>
      </c>
      <c r="K48" t="s">
        <v>266</v>
      </c>
      <c r="L48">
        <v>14100</v>
      </c>
      <c r="M48" s="18">
        <v>46028.297189004632</v>
      </c>
      <c r="N48" s="18">
        <v>46048.568856215279</v>
      </c>
      <c r="O48">
        <v>6</v>
      </c>
      <c r="P48" t="s">
        <v>267</v>
      </c>
      <c r="Q48" t="s">
        <v>268</v>
      </c>
      <c r="R48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6E81-FE70-4703-AB1F-CF5550D6C72A}">
  <dimension ref="A1:AC13"/>
  <sheetViews>
    <sheetView topLeftCell="D1" workbookViewId="0">
      <selection activeCell="G13" sqref="G13"/>
    </sheetView>
  </sheetViews>
  <sheetFormatPr defaultRowHeight="15" x14ac:dyDescent="0.25"/>
  <cols>
    <col min="1" max="1" width="6.140625" bestFit="1" customWidth="1"/>
    <col min="2" max="2" width="7.7109375" bestFit="1" customWidth="1"/>
    <col min="3" max="3" width="9.42578125" bestFit="1" customWidth="1"/>
    <col min="4" max="4" width="52.85546875" bestFit="1" customWidth="1"/>
    <col min="5" max="5" width="17.42578125" bestFit="1" customWidth="1"/>
    <col min="6" max="6" width="41.28515625" bestFit="1" customWidth="1"/>
    <col min="7" max="7" width="78.7109375" customWidth="1"/>
    <col min="10" max="10" width="13.140625" bestFit="1" customWidth="1"/>
    <col min="19" max="19" width="17.5703125" customWidth="1"/>
  </cols>
  <sheetData>
    <row r="1" spans="1:29" x14ac:dyDescent="0.25">
      <c r="A1" s="3" t="s">
        <v>205</v>
      </c>
      <c r="B1" s="3" t="s">
        <v>206</v>
      </c>
      <c r="C1" s="3" t="s">
        <v>207</v>
      </c>
      <c r="D1" s="3" t="s">
        <v>212</v>
      </c>
      <c r="E1" s="3" t="s">
        <v>208</v>
      </c>
      <c r="F1" s="3" t="s">
        <v>209</v>
      </c>
    </row>
    <row r="2" spans="1:29" ht="30" x14ac:dyDescent="0.25">
      <c r="A2" s="4">
        <v>1</v>
      </c>
      <c r="B2" s="4">
        <v>36048</v>
      </c>
      <c r="C2" s="4" t="s">
        <v>210</v>
      </c>
      <c r="D2" s="4" t="s">
        <v>213</v>
      </c>
      <c r="E2" s="4" t="s">
        <v>211</v>
      </c>
      <c r="F2" s="22" t="s">
        <v>214</v>
      </c>
      <c r="R2" s="19"/>
      <c r="S2" s="16"/>
      <c r="AA2" s="19"/>
      <c r="AC2" s="19"/>
    </row>
    <row r="3" spans="1:29" x14ac:dyDescent="0.25">
      <c r="A3" s="4">
        <v>2</v>
      </c>
      <c r="B3" s="4">
        <v>36261</v>
      </c>
      <c r="C3" s="4" t="s">
        <v>215</v>
      </c>
      <c r="D3" s="4" t="s">
        <v>216</v>
      </c>
      <c r="E3" s="4" t="s">
        <v>219</v>
      </c>
      <c r="F3" s="4" t="s">
        <v>221</v>
      </c>
      <c r="R3" s="19"/>
      <c r="AA3" s="19"/>
      <c r="AC3" s="19"/>
    </row>
    <row r="4" spans="1:29" x14ac:dyDescent="0.25">
      <c r="A4" s="4">
        <v>3</v>
      </c>
      <c r="B4" s="4">
        <v>36343</v>
      </c>
      <c r="C4" s="4" t="s">
        <v>217</v>
      </c>
      <c r="D4" s="4" t="s">
        <v>218</v>
      </c>
      <c r="E4" s="4" t="s">
        <v>121</v>
      </c>
      <c r="F4" s="4" t="s">
        <v>220</v>
      </c>
      <c r="G4" s="23" t="s">
        <v>222</v>
      </c>
      <c r="R4" s="19"/>
      <c r="AA4" s="19"/>
      <c r="AC4" s="19"/>
    </row>
    <row r="5" spans="1:29" x14ac:dyDescent="0.25">
      <c r="A5" s="23">
        <v>4</v>
      </c>
      <c r="B5" s="23">
        <v>36361</v>
      </c>
      <c r="D5" s="23" t="s">
        <v>228</v>
      </c>
      <c r="E5" s="4" t="s">
        <v>219</v>
      </c>
      <c r="F5" t="s">
        <v>229</v>
      </c>
      <c r="Q5" s="19"/>
      <c r="R5" s="19"/>
      <c r="AA5" s="19"/>
      <c r="AC5" s="19"/>
    </row>
    <row r="6" spans="1:29" x14ac:dyDescent="0.25">
      <c r="R6" s="19"/>
      <c r="S6" s="16"/>
      <c r="AA6" s="19"/>
      <c r="AC6" s="19"/>
    </row>
    <row r="7" spans="1:29" x14ac:dyDescent="0.25">
      <c r="R7" s="19"/>
      <c r="AA7" s="19"/>
      <c r="AC7" s="19"/>
    </row>
    <row r="8" spans="1:29" x14ac:dyDescent="0.25">
      <c r="Q8" s="19"/>
      <c r="R8" s="19"/>
      <c r="AA8" s="19"/>
      <c r="AC8" s="19"/>
    </row>
    <row r="9" spans="1:29" x14ac:dyDescent="0.25">
      <c r="Q9" s="19"/>
      <c r="R9" s="19"/>
      <c r="AA9" s="19"/>
      <c r="AC9" s="19"/>
    </row>
    <row r="10" spans="1:29" x14ac:dyDescent="0.25">
      <c r="R10" s="19"/>
      <c r="AA10" s="19"/>
      <c r="AC10" s="19"/>
    </row>
    <row r="11" spans="1:29" x14ac:dyDescent="0.25">
      <c r="Q11" s="19"/>
      <c r="R11" s="19"/>
      <c r="AA11" s="19"/>
      <c r="AC11" s="19"/>
    </row>
    <row r="12" spans="1:29" x14ac:dyDescent="0.25">
      <c r="Q12" s="19"/>
      <c r="R12" s="19"/>
      <c r="AA12" s="19"/>
      <c r="AC12" s="19"/>
    </row>
    <row r="13" spans="1:29" x14ac:dyDescent="0.25">
      <c r="Q13" s="19"/>
      <c r="R13" s="19"/>
      <c r="AA13" s="19"/>
      <c r="AC13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351F-25F0-4B15-AF6C-085CAE296C74}">
  <dimension ref="A2:X43"/>
  <sheetViews>
    <sheetView topLeftCell="A7" workbookViewId="0">
      <selection activeCell="U32" sqref="U32"/>
    </sheetView>
  </sheetViews>
  <sheetFormatPr defaultRowHeight="15" x14ac:dyDescent="0.25"/>
  <cols>
    <col min="7" max="7" width="9.5703125" bestFit="1" customWidth="1"/>
    <col min="8" max="8" width="10.5703125" bestFit="1" customWidth="1"/>
    <col min="10" max="10" width="10.42578125" bestFit="1" customWidth="1"/>
    <col min="19" max="19" width="19.28515625" customWidth="1"/>
    <col min="20" max="20" width="15.5703125" bestFit="1" customWidth="1"/>
    <col min="21" max="21" width="15.5703125" customWidth="1"/>
    <col min="22" max="22" width="21.5703125" bestFit="1" customWidth="1"/>
    <col min="24" max="24" width="10.42578125" bestFit="1" customWidth="1"/>
  </cols>
  <sheetData>
    <row r="2" spans="1:21" x14ac:dyDescent="0.25">
      <c r="A2" t="s">
        <v>283</v>
      </c>
      <c r="E2" s="35" t="s">
        <v>293</v>
      </c>
      <c r="F2" s="35"/>
      <c r="G2" s="35"/>
      <c r="H2" s="35"/>
      <c r="I2" s="35"/>
      <c r="J2" s="35"/>
    </row>
    <row r="4" spans="1:21" x14ac:dyDescent="0.25">
      <c r="E4" t="s">
        <v>53</v>
      </c>
    </row>
    <row r="5" spans="1:21" x14ac:dyDescent="0.25">
      <c r="F5" t="s">
        <v>287</v>
      </c>
      <c r="G5" t="s">
        <v>284</v>
      </c>
      <c r="H5" t="s">
        <v>285</v>
      </c>
      <c r="I5" t="s">
        <v>286</v>
      </c>
      <c r="J5" t="s">
        <v>292</v>
      </c>
    </row>
    <row r="6" spans="1:21" x14ac:dyDescent="0.25">
      <c r="F6">
        <v>1</v>
      </c>
      <c r="G6">
        <v>1</v>
      </c>
      <c r="H6">
        <v>100</v>
      </c>
      <c r="I6" t="s">
        <v>288</v>
      </c>
      <c r="J6" s="16">
        <v>46034</v>
      </c>
    </row>
    <row r="7" spans="1:21" x14ac:dyDescent="0.25">
      <c r="F7">
        <v>2</v>
      </c>
      <c r="G7">
        <v>2</v>
      </c>
      <c r="H7">
        <v>500</v>
      </c>
      <c r="I7" t="s">
        <v>288</v>
      </c>
      <c r="J7" s="16">
        <v>46035</v>
      </c>
    </row>
    <row r="8" spans="1:21" x14ac:dyDescent="0.25">
      <c r="F8">
        <v>3</v>
      </c>
      <c r="G8">
        <v>4</v>
      </c>
      <c r="H8">
        <v>100</v>
      </c>
      <c r="I8" t="s">
        <v>289</v>
      </c>
      <c r="J8" s="16">
        <v>46067</v>
      </c>
    </row>
    <row r="9" spans="1:21" x14ac:dyDescent="0.25">
      <c r="F9">
        <v>4</v>
      </c>
      <c r="G9">
        <v>5</v>
      </c>
      <c r="H9">
        <v>300</v>
      </c>
      <c r="I9" t="s">
        <v>290</v>
      </c>
      <c r="J9" s="16">
        <v>46037</v>
      </c>
    </row>
    <row r="10" spans="1:21" x14ac:dyDescent="0.25">
      <c r="F10">
        <v>5</v>
      </c>
      <c r="G10">
        <v>1</v>
      </c>
      <c r="H10">
        <v>100</v>
      </c>
      <c r="I10" t="s">
        <v>291</v>
      </c>
      <c r="J10" s="16">
        <v>46097</v>
      </c>
    </row>
    <row r="11" spans="1:21" x14ac:dyDescent="0.25">
      <c r="F11">
        <v>6</v>
      </c>
      <c r="G11">
        <v>3</v>
      </c>
      <c r="H11">
        <v>100</v>
      </c>
      <c r="I11" t="s">
        <v>289</v>
      </c>
      <c r="J11" s="16">
        <v>46039</v>
      </c>
    </row>
    <row r="12" spans="1:21" x14ac:dyDescent="0.25">
      <c r="F12">
        <v>7</v>
      </c>
      <c r="G12">
        <v>1</v>
      </c>
      <c r="H12">
        <v>600</v>
      </c>
      <c r="I12" t="s">
        <v>290</v>
      </c>
      <c r="J12" s="16">
        <v>46040</v>
      </c>
      <c r="S12" t="s">
        <v>356</v>
      </c>
      <c r="T12" t="s">
        <v>357</v>
      </c>
    </row>
    <row r="13" spans="1:21" x14ac:dyDescent="0.25">
      <c r="F13">
        <v>8</v>
      </c>
      <c r="G13">
        <v>3</v>
      </c>
      <c r="H13">
        <v>100</v>
      </c>
      <c r="I13" t="s">
        <v>288</v>
      </c>
      <c r="J13" s="16">
        <v>46041</v>
      </c>
      <c r="S13" s="18">
        <v>46103.781798414355</v>
      </c>
      <c r="T13" s="18">
        <v>46103.999999965279</v>
      </c>
      <c r="U13" s="18"/>
    </row>
    <row r="14" spans="1:21" x14ac:dyDescent="0.25">
      <c r="S14" s="18">
        <v>46104.781798379627</v>
      </c>
      <c r="T14" s="18">
        <v>46105</v>
      </c>
      <c r="U14" s="18"/>
    </row>
    <row r="19" spans="4:24" x14ac:dyDescent="0.25">
      <c r="S19" t="s">
        <v>358</v>
      </c>
      <c r="T19" t="s">
        <v>359</v>
      </c>
      <c r="U19" t="s">
        <v>362</v>
      </c>
      <c r="V19" t="s">
        <v>360</v>
      </c>
      <c r="X19" t="s">
        <v>361</v>
      </c>
    </row>
    <row r="20" spans="4:24" x14ac:dyDescent="0.25">
      <c r="S20" s="18">
        <v>46102.781793981485</v>
      </c>
      <c r="T20" s="18">
        <v>46102.781793981485</v>
      </c>
      <c r="U20" s="18">
        <v>46101.781793981485</v>
      </c>
      <c r="V20" s="18">
        <v>46102.999305555553</v>
      </c>
      <c r="X20" s="16">
        <v>46103.25</v>
      </c>
    </row>
    <row r="21" spans="4:24" x14ac:dyDescent="0.25">
      <c r="S21" s="18">
        <v>46103.781793981485</v>
      </c>
      <c r="T21" s="18">
        <v>46103.781793981485</v>
      </c>
      <c r="U21" s="18">
        <v>46102.781793981485</v>
      </c>
      <c r="V21" s="18">
        <v>46103.999305555553</v>
      </c>
      <c r="X21" s="16">
        <v>46104</v>
      </c>
    </row>
    <row r="22" spans="4:24" x14ac:dyDescent="0.25">
      <c r="D22" t="s">
        <v>242</v>
      </c>
      <c r="E22" t="s">
        <v>297</v>
      </c>
      <c r="F22" t="s">
        <v>298</v>
      </c>
      <c r="G22" t="s">
        <v>299</v>
      </c>
      <c r="H22" t="s">
        <v>243</v>
      </c>
      <c r="I22" t="s">
        <v>245</v>
      </c>
      <c r="J22" t="s">
        <v>244</v>
      </c>
      <c r="K22" t="s">
        <v>246</v>
      </c>
      <c r="L22" t="s">
        <v>300</v>
      </c>
      <c r="M22" t="s">
        <v>257</v>
      </c>
      <c r="N22" t="s">
        <v>301</v>
      </c>
    </row>
    <row r="23" spans="4:24" x14ac:dyDescent="0.25">
      <c r="D23">
        <v>21024</v>
      </c>
      <c r="E23">
        <v>4438</v>
      </c>
      <c r="F23" t="s">
        <v>302</v>
      </c>
      <c r="G23" t="s">
        <v>303</v>
      </c>
      <c r="H23" s="19">
        <v>46084.56253383102</v>
      </c>
      <c r="I23" t="s">
        <v>267</v>
      </c>
      <c r="J23">
        <v>1</v>
      </c>
      <c r="K23" t="s">
        <v>267</v>
      </c>
      <c r="L23">
        <v>5536</v>
      </c>
      <c r="M23">
        <v>285</v>
      </c>
      <c r="N23">
        <v>101</v>
      </c>
      <c r="S23" s="18">
        <v>46108.26096871528</v>
      </c>
    </row>
    <row r="24" spans="4:24" x14ac:dyDescent="0.25">
      <c r="D24">
        <v>21025</v>
      </c>
      <c r="E24">
        <v>4438</v>
      </c>
      <c r="F24" t="s">
        <v>302</v>
      </c>
      <c r="G24" t="s">
        <v>304</v>
      </c>
      <c r="H24" s="19">
        <v>46084.56253383102</v>
      </c>
      <c r="I24" t="s">
        <v>267</v>
      </c>
      <c r="J24">
        <v>1</v>
      </c>
      <c r="K24" t="s">
        <v>267</v>
      </c>
      <c r="L24">
        <v>5537</v>
      </c>
      <c r="M24">
        <v>685</v>
      </c>
      <c r="N24">
        <v>709</v>
      </c>
      <c r="S24" s="18">
        <v>46108.281805555554</v>
      </c>
      <c r="T24" s="18">
        <v>46103.781793981485</v>
      </c>
      <c r="U24" s="18">
        <v>46103.781793981485</v>
      </c>
      <c r="V24" s="18" t="s">
        <v>370</v>
      </c>
    </row>
    <row r="25" spans="4:24" x14ac:dyDescent="0.25">
      <c r="D25">
        <v>21032</v>
      </c>
      <c r="E25">
        <v>4439</v>
      </c>
      <c r="F25" t="s">
        <v>305</v>
      </c>
      <c r="G25" t="s">
        <v>306</v>
      </c>
      <c r="H25" s="19">
        <v>46084.56253383102</v>
      </c>
      <c r="I25" t="s">
        <v>267</v>
      </c>
      <c r="J25">
        <v>1</v>
      </c>
      <c r="K25" t="s">
        <v>267</v>
      </c>
      <c r="L25">
        <v>5537</v>
      </c>
      <c r="M25">
        <v>685</v>
      </c>
      <c r="N25">
        <v>709</v>
      </c>
      <c r="T25" s="18">
        <v>46108.26096871528</v>
      </c>
      <c r="U25" s="18">
        <v>46108.26096871528</v>
      </c>
      <c r="V25" s="18" t="s">
        <v>370</v>
      </c>
    </row>
    <row r="26" spans="4:24" x14ac:dyDescent="0.25">
      <c r="D26">
        <v>21028</v>
      </c>
      <c r="E26">
        <v>4438</v>
      </c>
      <c r="F26" t="s">
        <v>302</v>
      </c>
      <c r="G26" t="s">
        <v>307</v>
      </c>
      <c r="H26" s="19">
        <v>46084.56253383102</v>
      </c>
      <c r="I26" t="s">
        <v>267</v>
      </c>
      <c r="J26">
        <v>1</v>
      </c>
      <c r="K26" t="s">
        <v>267</v>
      </c>
      <c r="L26">
        <v>5540</v>
      </c>
      <c r="M26">
        <v>7552</v>
      </c>
      <c r="N26">
        <v>2200</v>
      </c>
      <c r="T26" s="18">
        <v>46108.26096871528</v>
      </c>
      <c r="U26" s="18">
        <v>46108.281805555554</v>
      </c>
      <c r="V26" s="18" t="s">
        <v>370</v>
      </c>
    </row>
    <row r="27" spans="4:24" x14ac:dyDescent="0.25">
      <c r="D27">
        <v>21030</v>
      </c>
      <c r="E27">
        <v>4438</v>
      </c>
      <c r="F27" t="s">
        <v>302</v>
      </c>
      <c r="G27" t="s">
        <v>304</v>
      </c>
      <c r="H27" s="19">
        <v>46084.56253383102</v>
      </c>
      <c r="I27" t="s">
        <v>267</v>
      </c>
      <c r="J27">
        <v>1</v>
      </c>
      <c r="K27" t="s">
        <v>267</v>
      </c>
      <c r="L27">
        <v>5542</v>
      </c>
      <c r="M27">
        <v>8431</v>
      </c>
      <c r="N27">
        <v>2368</v>
      </c>
      <c r="S27" s="18" t="s">
        <v>371</v>
      </c>
    </row>
    <row r="28" spans="4:24" x14ac:dyDescent="0.25">
      <c r="D28">
        <v>21046</v>
      </c>
      <c r="E28">
        <v>4442</v>
      </c>
      <c r="F28" t="s">
        <v>308</v>
      </c>
      <c r="G28" t="s">
        <v>304</v>
      </c>
      <c r="H28" s="19">
        <v>46084.562547800924</v>
      </c>
      <c r="I28" t="s">
        <v>267</v>
      </c>
      <c r="J28">
        <v>1</v>
      </c>
      <c r="K28" t="s">
        <v>267</v>
      </c>
      <c r="L28">
        <v>5543</v>
      </c>
      <c r="M28">
        <v>8191</v>
      </c>
      <c r="N28">
        <v>2330</v>
      </c>
      <c r="U28" s="18">
        <v>46108.281805555554</v>
      </c>
      <c r="V28" s="18" t="s">
        <v>372</v>
      </c>
    </row>
    <row r="29" spans="4:24" x14ac:dyDescent="0.25">
      <c r="D29">
        <v>21122</v>
      </c>
      <c r="E29">
        <v>4438</v>
      </c>
      <c r="F29" t="s">
        <v>302</v>
      </c>
      <c r="G29" t="s">
        <v>303</v>
      </c>
      <c r="H29" s="19">
        <v>46085.229189467595</v>
      </c>
      <c r="I29" t="s">
        <v>267</v>
      </c>
      <c r="J29">
        <v>1</v>
      </c>
      <c r="K29" t="s">
        <v>267</v>
      </c>
      <c r="L29">
        <v>5556</v>
      </c>
      <c r="M29">
        <v>816</v>
      </c>
      <c r="N29">
        <v>803</v>
      </c>
    </row>
    <row r="33" spans="4:14" x14ac:dyDescent="0.25">
      <c r="D33" t="s">
        <v>242</v>
      </c>
      <c r="E33" t="s">
        <v>297</v>
      </c>
      <c r="F33" t="s">
        <v>298</v>
      </c>
      <c r="G33" t="s">
        <v>299</v>
      </c>
      <c r="H33" t="s">
        <v>243</v>
      </c>
      <c r="I33" t="s">
        <v>245</v>
      </c>
      <c r="J33" t="s">
        <v>244</v>
      </c>
      <c r="K33" t="s">
        <v>246</v>
      </c>
      <c r="L33" t="s">
        <v>300</v>
      </c>
      <c r="M33" t="s">
        <v>257</v>
      </c>
      <c r="N33" t="s">
        <v>301</v>
      </c>
    </row>
    <row r="34" spans="4:14" x14ac:dyDescent="0.25">
      <c r="D34">
        <v>21010</v>
      </c>
      <c r="E34">
        <v>4436</v>
      </c>
      <c r="F34" t="s">
        <v>309</v>
      </c>
      <c r="G34" t="s">
        <v>310</v>
      </c>
      <c r="H34" s="19">
        <v>46084.56253383102</v>
      </c>
      <c r="I34" t="s">
        <v>267</v>
      </c>
      <c r="J34">
        <v>1</v>
      </c>
      <c r="K34" t="s">
        <v>267</v>
      </c>
      <c r="L34">
        <v>5536</v>
      </c>
      <c r="M34">
        <v>285</v>
      </c>
      <c r="N34">
        <v>101</v>
      </c>
    </row>
    <row r="35" spans="4:14" x14ac:dyDescent="0.25">
      <c r="D35">
        <v>21011</v>
      </c>
      <c r="E35">
        <v>4436</v>
      </c>
      <c r="F35" t="s">
        <v>309</v>
      </c>
      <c r="G35" t="s">
        <v>311</v>
      </c>
      <c r="H35" s="19">
        <v>46084.56253383102</v>
      </c>
      <c r="I35" t="s">
        <v>267</v>
      </c>
      <c r="J35">
        <v>1</v>
      </c>
      <c r="K35" t="s">
        <v>267</v>
      </c>
      <c r="L35">
        <v>5537</v>
      </c>
      <c r="M35">
        <v>685</v>
      </c>
      <c r="N35">
        <v>709</v>
      </c>
    </row>
    <row r="36" spans="4:14" x14ac:dyDescent="0.25">
      <c r="D36">
        <v>21012</v>
      </c>
      <c r="E36">
        <v>4436</v>
      </c>
      <c r="F36" t="s">
        <v>309</v>
      </c>
      <c r="G36" t="s">
        <v>310</v>
      </c>
      <c r="H36" s="19">
        <v>46084.56253383102</v>
      </c>
      <c r="I36" t="s">
        <v>267</v>
      </c>
      <c r="J36">
        <v>1</v>
      </c>
      <c r="K36" t="s">
        <v>267</v>
      </c>
      <c r="L36">
        <v>5538</v>
      </c>
      <c r="M36">
        <v>907</v>
      </c>
      <c r="N36">
        <v>895</v>
      </c>
    </row>
    <row r="37" spans="4:14" x14ac:dyDescent="0.25">
      <c r="D37">
        <v>21014</v>
      </c>
      <c r="E37">
        <v>4436</v>
      </c>
      <c r="F37" t="s">
        <v>309</v>
      </c>
      <c r="G37" t="s">
        <v>312</v>
      </c>
      <c r="H37" s="19">
        <v>46084.56253383102</v>
      </c>
      <c r="I37" t="s">
        <v>267</v>
      </c>
      <c r="J37">
        <v>1</v>
      </c>
      <c r="K37" t="s">
        <v>267</v>
      </c>
      <c r="L37">
        <v>5540</v>
      </c>
      <c r="M37">
        <v>7552</v>
      </c>
      <c r="N37">
        <v>2200</v>
      </c>
    </row>
    <row r="38" spans="4:14" x14ac:dyDescent="0.25">
      <c r="D38">
        <v>21015</v>
      </c>
      <c r="E38">
        <v>4436</v>
      </c>
      <c r="F38" t="s">
        <v>309</v>
      </c>
      <c r="G38" t="s">
        <v>313</v>
      </c>
      <c r="H38" s="19">
        <v>46084.56253383102</v>
      </c>
      <c r="I38" t="s">
        <v>267</v>
      </c>
      <c r="J38">
        <v>1</v>
      </c>
      <c r="K38" t="s">
        <v>267</v>
      </c>
      <c r="L38">
        <v>5541</v>
      </c>
      <c r="M38">
        <v>8191</v>
      </c>
      <c r="N38">
        <v>2330</v>
      </c>
    </row>
    <row r="39" spans="4:14" x14ac:dyDescent="0.25">
      <c r="D39">
        <v>21016</v>
      </c>
      <c r="E39">
        <v>4436</v>
      </c>
      <c r="F39" t="s">
        <v>309</v>
      </c>
      <c r="G39" t="s">
        <v>314</v>
      </c>
      <c r="H39" s="19">
        <v>46084.56253383102</v>
      </c>
      <c r="I39" t="s">
        <v>267</v>
      </c>
      <c r="J39">
        <v>1</v>
      </c>
      <c r="K39" t="s">
        <v>267</v>
      </c>
      <c r="L39">
        <v>5542</v>
      </c>
      <c r="M39">
        <v>8431</v>
      </c>
      <c r="N39">
        <v>2368</v>
      </c>
    </row>
    <row r="40" spans="4:14" x14ac:dyDescent="0.25">
      <c r="D40">
        <v>21040</v>
      </c>
      <c r="E40">
        <v>4436</v>
      </c>
      <c r="F40" t="s">
        <v>309</v>
      </c>
      <c r="G40" t="s">
        <v>313</v>
      </c>
      <c r="H40" s="19">
        <v>46084.562547800924</v>
      </c>
      <c r="I40" t="s">
        <v>267</v>
      </c>
      <c r="J40">
        <v>1</v>
      </c>
      <c r="K40" t="s">
        <v>267</v>
      </c>
      <c r="L40">
        <v>5543</v>
      </c>
      <c r="M40">
        <v>8191</v>
      </c>
      <c r="N40">
        <v>2330</v>
      </c>
    </row>
    <row r="41" spans="4:14" x14ac:dyDescent="0.25">
      <c r="D41">
        <v>21044</v>
      </c>
      <c r="E41">
        <v>4440</v>
      </c>
      <c r="F41" t="s">
        <v>315</v>
      </c>
      <c r="G41" t="s">
        <v>313</v>
      </c>
      <c r="H41" s="19">
        <v>46084.562547800924</v>
      </c>
      <c r="I41" t="s">
        <v>267</v>
      </c>
      <c r="J41">
        <v>1</v>
      </c>
      <c r="K41" t="s">
        <v>267</v>
      </c>
      <c r="L41">
        <v>5543</v>
      </c>
      <c r="M41">
        <v>8191</v>
      </c>
      <c r="N41">
        <v>2330</v>
      </c>
    </row>
    <row r="42" spans="4:14" x14ac:dyDescent="0.25">
      <c r="D42">
        <v>21110</v>
      </c>
      <c r="E42">
        <v>4436</v>
      </c>
      <c r="F42" t="s">
        <v>309</v>
      </c>
      <c r="G42" t="s">
        <v>310</v>
      </c>
      <c r="H42" s="19">
        <v>46085.229189467595</v>
      </c>
      <c r="I42" t="s">
        <v>267</v>
      </c>
      <c r="J42">
        <v>1</v>
      </c>
      <c r="K42" t="s">
        <v>267</v>
      </c>
      <c r="L42">
        <v>5556</v>
      </c>
      <c r="M42">
        <v>816</v>
      </c>
      <c r="N42">
        <v>803</v>
      </c>
    </row>
    <row r="43" spans="4:14" x14ac:dyDescent="0.25">
      <c r="D43">
        <v>21111</v>
      </c>
      <c r="E43">
        <v>4436</v>
      </c>
      <c r="F43" t="s">
        <v>309</v>
      </c>
      <c r="G43" t="s">
        <v>314</v>
      </c>
      <c r="H43" s="19">
        <v>46085.229189467595</v>
      </c>
      <c r="I43" t="s">
        <v>267</v>
      </c>
      <c r="J43">
        <v>1</v>
      </c>
      <c r="K43" t="s">
        <v>267</v>
      </c>
      <c r="L43">
        <v>5557</v>
      </c>
      <c r="M43">
        <v>1083</v>
      </c>
      <c r="N43">
        <v>1011</v>
      </c>
    </row>
  </sheetData>
  <mergeCells count="1">
    <mergeCell ref="E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E53F-5654-4A16-ABB1-0C2DCC39A01C}">
  <sheetPr filterMode="1"/>
  <dimension ref="A1:I73"/>
  <sheetViews>
    <sheetView workbookViewId="0">
      <selection activeCell="L49" sqref="L49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19.28515625" bestFit="1" customWidth="1"/>
    <col min="4" max="4" width="41.28515625" bestFit="1" customWidth="1"/>
    <col min="5" max="5" width="27.140625" bestFit="1" customWidth="1"/>
    <col min="6" max="6" width="12.42578125" bestFit="1" customWidth="1"/>
    <col min="7" max="7" width="7" bestFit="1" customWidth="1"/>
    <col min="8" max="8" width="13.5703125" bestFit="1" customWidth="1"/>
    <col min="9" max="9" width="15.5703125" bestFit="1" customWidth="1"/>
  </cols>
  <sheetData>
    <row r="1" spans="1:9" x14ac:dyDescent="0.25">
      <c r="A1" t="s">
        <v>316</v>
      </c>
      <c r="B1" t="s">
        <v>297</v>
      </c>
      <c r="C1" t="s">
        <v>317</v>
      </c>
      <c r="D1" t="s">
        <v>318</v>
      </c>
      <c r="E1" t="s">
        <v>319</v>
      </c>
      <c r="F1" t="s">
        <v>320</v>
      </c>
      <c r="G1" t="s">
        <v>257</v>
      </c>
      <c r="H1" t="s">
        <v>321</v>
      </c>
      <c r="I1" t="s">
        <v>322</v>
      </c>
    </row>
    <row r="2" spans="1:9" hidden="1" x14ac:dyDescent="0.25">
      <c r="A2" s="26">
        <v>3134</v>
      </c>
      <c r="B2" s="26">
        <v>4438</v>
      </c>
      <c r="C2" s="26" t="s">
        <v>323</v>
      </c>
      <c r="D2" s="26" t="s">
        <v>324</v>
      </c>
      <c r="E2" s="26" t="s">
        <v>302</v>
      </c>
      <c r="F2" s="26">
        <v>339</v>
      </c>
      <c r="G2" s="26">
        <v>347</v>
      </c>
      <c r="H2" s="26">
        <v>440194</v>
      </c>
      <c r="I2" s="26">
        <v>15</v>
      </c>
    </row>
    <row r="3" spans="1:9" hidden="1" x14ac:dyDescent="0.25">
      <c r="A3" s="26">
        <v>3134</v>
      </c>
      <c r="B3" s="26">
        <v>4437</v>
      </c>
      <c r="C3" s="26" t="s">
        <v>323</v>
      </c>
      <c r="D3" s="26" t="s">
        <v>325</v>
      </c>
      <c r="E3" s="26" t="s">
        <v>326</v>
      </c>
      <c r="F3" s="26">
        <v>339</v>
      </c>
      <c r="G3" s="26">
        <v>347</v>
      </c>
      <c r="H3" s="26">
        <v>440194</v>
      </c>
      <c r="I3" s="26">
        <v>2</v>
      </c>
    </row>
    <row r="4" spans="1:9" hidden="1" x14ac:dyDescent="0.25">
      <c r="A4" s="26">
        <v>3134</v>
      </c>
      <c r="B4" s="26">
        <v>4439</v>
      </c>
      <c r="C4" s="26" t="s">
        <v>323</v>
      </c>
      <c r="D4" s="26" t="s">
        <v>327</v>
      </c>
      <c r="E4" s="26" t="s">
        <v>305</v>
      </c>
      <c r="F4" s="26">
        <v>339</v>
      </c>
      <c r="G4" s="26">
        <v>347</v>
      </c>
      <c r="H4" s="26">
        <v>440194</v>
      </c>
      <c r="I4" s="26">
        <v>10.5</v>
      </c>
    </row>
    <row r="5" spans="1:9" hidden="1" x14ac:dyDescent="0.25">
      <c r="A5" s="26">
        <v>3134</v>
      </c>
      <c r="B5" s="26">
        <v>4436</v>
      </c>
      <c r="C5" s="26" t="s">
        <v>323</v>
      </c>
      <c r="D5" s="26" t="s">
        <v>328</v>
      </c>
      <c r="E5" s="26" t="s">
        <v>309</v>
      </c>
      <c r="F5" s="26">
        <v>339</v>
      </c>
      <c r="G5" s="26">
        <v>347</v>
      </c>
      <c r="H5" s="26">
        <v>440194</v>
      </c>
      <c r="I5" s="26">
        <v>3000</v>
      </c>
    </row>
    <row r="6" spans="1:9" hidden="1" x14ac:dyDescent="0.25">
      <c r="A6" s="26">
        <v>3134</v>
      </c>
      <c r="B6" s="26">
        <v>4442</v>
      </c>
      <c r="C6" s="26" t="s">
        <v>323</v>
      </c>
      <c r="D6" s="26" t="s">
        <v>329</v>
      </c>
      <c r="E6" s="26" t="s">
        <v>308</v>
      </c>
      <c r="F6" s="26">
        <v>339</v>
      </c>
      <c r="G6" s="26">
        <v>347</v>
      </c>
      <c r="H6" s="26">
        <v>440194</v>
      </c>
      <c r="I6" s="26">
        <v>15</v>
      </c>
    </row>
    <row r="7" spans="1:9" hidden="1" x14ac:dyDescent="0.25">
      <c r="A7" s="26">
        <v>3134</v>
      </c>
      <c r="B7" s="26">
        <v>4441</v>
      </c>
      <c r="C7" s="26" t="s">
        <v>323</v>
      </c>
      <c r="D7" s="26" t="s">
        <v>330</v>
      </c>
      <c r="E7" s="26" t="s">
        <v>331</v>
      </c>
      <c r="F7" s="26">
        <v>339</v>
      </c>
      <c r="G7" s="26">
        <v>347</v>
      </c>
      <c r="H7" s="26">
        <v>440194</v>
      </c>
      <c r="I7" s="26">
        <v>2</v>
      </c>
    </row>
    <row r="8" spans="1:9" hidden="1" x14ac:dyDescent="0.25">
      <c r="A8" s="26">
        <v>3134</v>
      </c>
      <c r="B8" s="26">
        <v>4443</v>
      </c>
      <c r="C8" s="26" t="s">
        <v>323</v>
      </c>
      <c r="D8" s="26" t="s">
        <v>332</v>
      </c>
      <c r="E8" s="26" t="s">
        <v>333</v>
      </c>
      <c r="F8" s="26">
        <v>339</v>
      </c>
      <c r="G8" s="26">
        <v>347</v>
      </c>
      <c r="H8" s="26">
        <v>440194</v>
      </c>
      <c r="I8" s="26">
        <v>15</v>
      </c>
    </row>
    <row r="9" spans="1:9" hidden="1" x14ac:dyDescent="0.25">
      <c r="A9" s="26">
        <v>3134</v>
      </c>
      <c r="B9" s="26">
        <v>4440</v>
      </c>
      <c r="C9" s="26" t="s">
        <v>323</v>
      </c>
      <c r="D9" s="26" t="s">
        <v>334</v>
      </c>
      <c r="E9" s="26" t="s">
        <v>315</v>
      </c>
      <c r="F9" s="26">
        <v>339</v>
      </c>
      <c r="G9" s="26">
        <v>347</v>
      </c>
      <c r="H9" s="26">
        <v>440194</v>
      </c>
      <c r="I9" s="26">
        <v>6000</v>
      </c>
    </row>
    <row r="10" spans="1:9" hidden="1" x14ac:dyDescent="0.25">
      <c r="A10" s="26">
        <v>3134</v>
      </c>
      <c r="B10" s="26">
        <v>4446</v>
      </c>
      <c r="C10" s="26" t="s">
        <v>323</v>
      </c>
      <c r="D10" s="26" t="s">
        <v>335</v>
      </c>
      <c r="E10" s="26" t="s">
        <v>336</v>
      </c>
      <c r="F10" s="26">
        <v>339</v>
      </c>
      <c r="G10" s="26">
        <v>347</v>
      </c>
      <c r="H10" s="26">
        <v>440194</v>
      </c>
      <c r="I10" s="26" t="s">
        <v>267</v>
      </c>
    </row>
    <row r="11" spans="1:9" hidden="1" x14ac:dyDescent="0.25">
      <c r="A11" s="26">
        <v>3134</v>
      </c>
      <c r="B11" s="26">
        <v>4445</v>
      </c>
      <c r="C11" s="26" t="s">
        <v>323</v>
      </c>
      <c r="D11" s="26" t="s">
        <v>337</v>
      </c>
      <c r="E11" s="26" t="s">
        <v>338</v>
      </c>
      <c r="F11" s="26">
        <v>339</v>
      </c>
      <c r="G11" s="26">
        <v>347</v>
      </c>
      <c r="H11" s="26">
        <v>440194</v>
      </c>
      <c r="I11" s="26">
        <v>2</v>
      </c>
    </row>
    <row r="12" spans="1:9" hidden="1" x14ac:dyDescent="0.25">
      <c r="A12" s="26">
        <v>3134</v>
      </c>
      <c r="B12" s="26">
        <v>4447</v>
      </c>
      <c r="C12" s="26" t="s">
        <v>323</v>
      </c>
      <c r="D12" s="26" t="s">
        <v>339</v>
      </c>
      <c r="E12" s="26" t="s">
        <v>340</v>
      </c>
      <c r="F12" s="26">
        <v>339</v>
      </c>
      <c r="G12" s="26">
        <v>347</v>
      </c>
      <c r="H12" s="26">
        <v>440194</v>
      </c>
      <c r="I12" s="26" t="s">
        <v>267</v>
      </c>
    </row>
    <row r="13" spans="1:9" hidden="1" x14ac:dyDescent="0.25">
      <c r="A13" s="26">
        <v>3134</v>
      </c>
      <c r="B13" s="26">
        <v>4444</v>
      </c>
      <c r="C13" s="26" t="s">
        <v>323</v>
      </c>
      <c r="D13" s="26" t="s">
        <v>341</v>
      </c>
      <c r="E13" s="26" t="s">
        <v>342</v>
      </c>
      <c r="F13" s="26">
        <v>339</v>
      </c>
      <c r="G13" s="26">
        <v>347</v>
      </c>
      <c r="H13" s="26">
        <v>440194</v>
      </c>
      <c r="I13" s="26">
        <v>9000</v>
      </c>
    </row>
    <row r="14" spans="1:9" hidden="1" x14ac:dyDescent="0.25">
      <c r="A14" s="26">
        <v>3134</v>
      </c>
      <c r="B14" s="26">
        <v>4450</v>
      </c>
      <c r="C14" s="26" t="s">
        <v>323</v>
      </c>
      <c r="D14" s="26" t="s">
        <v>343</v>
      </c>
      <c r="E14" s="26" t="s">
        <v>344</v>
      </c>
      <c r="F14" s="26">
        <v>339</v>
      </c>
      <c r="G14" s="26">
        <v>347</v>
      </c>
      <c r="H14" s="26">
        <v>440194</v>
      </c>
      <c r="I14" s="26" t="s">
        <v>267</v>
      </c>
    </row>
    <row r="15" spans="1:9" hidden="1" x14ac:dyDescent="0.25">
      <c r="A15" s="26">
        <v>3134</v>
      </c>
      <c r="B15" s="26">
        <v>4449</v>
      </c>
      <c r="C15" s="26" t="s">
        <v>323</v>
      </c>
      <c r="D15" s="26" t="s">
        <v>345</v>
      </c>
      <c r="E15" s="26" t="s">
        <v>346</v>
      </c>
      <c r="F15" s="26">
        <v>339</v>
      </c>
      <c r="G15" s="26">
        <v>347</v>
      </c>
      <c r="H15" s="26">
        <v>440194</v>
      </c>
      <c r="I15" s="26">
        <v>2</v>
      </c>
    </row>
    <row r="16" spans="1:9" hidden="1" x14ac:dyDescent="0.25">
      <c r="A16" s="26">
        <v>3134</v>
      </c>
      <c r="B16" s="26">
        <v>4451</v>
      </c>
      <c r="C16" s="26" t="s">
        <v>323</v>
      </c>
      <c r="D16" s="26" t="s">
        <v>347</v>
      </c>
      <c r="E16" s="26" t="s">
        <v>348</v>
      </c>
      <c r="F16" s="26">
        <v>339</v>
      </c>
      <c r="G16" s="26">
        <v>347</v>
      </c>
      <c r="H16" s="26">
        <v>440194</v>
      </c>
      <c r="I16" s="26" t="s">
        <v>267</v>
      </c>
    </row>
    <row r="17" spans="1:9" hidden="1" x14ac:dyDescent="0.25">
      <c r="A17" s="26">
        <v>3134</v>
      </c>
      <c r="B17" s="26">
        <v>4448</v>
      </c>
      <c r="C17" s="26" t="s">
        <v>323</v>
      </c>
      <c r="D17" s="26" t="s">
        <v>349</v>
      </c>
      <c r="E17" s="26" t="s">
        <v>350</v>
      </c>
      <c r="F17" s="26">
        <v>339</v>
      </c>
      <c r="G17" s="26">
        <v>347</v>
      </c>
      <c r="H17" s="26">
        <v>440194</v>
      </c>
      <c r="I17" s="26">
        <v>1200</v>
      </c>
    </row>
    <row r="18" spans="1:9" hidden="1" x14ac:dyDescent="0.25">
      <c r="A18" s="26">
        <v>3134</v>
      </c>
      <c r="B18" s="26">
        <v>4434</v>
      </c>
      <c r="C18" s="26" t="s">
        <v>323</v>
      </c>
      <c r="D18" s="26" t="s">
        <v>129</v>
      </c>
      <c r="E18" s="26" t="s">
        <v>351</v>
      </c>
      <c r="F18" s="26">
        <v>339</v>
      </c>
      <c r="G18" s="26">
        <v>347</v>
      </c>
      <c r="H18" s="26">
        <v>440194</v>
      </c>
      <c r="I18" s="27">
        <v>46071.770138888889</v>
      </c>
    </row>
    <row r="19" spans="1:9" hidden="1" x14ac:dyDescent="0.25">
      <c r="A19" s="26">
        <v>3134</v>
      </c>
      <c r="B19" s="26">
        <v>4435</v>
      </c>
      <c r="C19" s="26" t="s">
        <v>323</v>
      </c>
      <c r="D19" s="26" t="s">
        <v>352</v>
      </c>
      <c r="E19" s="26" t="s">
        <v>352</v>
      </c>
      <c r="F19" s="26">
        <v>339</v>
      </c>
      <c r="G19" s="26">
        <v>347</v>
      </c>
      <c r="H19" s="26">
        <v>440194</v>
      </c>
      <c r="I19" s="26" t="s">
        <v>353</v>
      </c>
    </row>
    <row r="20" spans="1:9" hidden="1" x14ac:dyDescent="0.25">
      <c r="A20" s="12">
        <v>3134</v>
      </c>
      <c r="B20" s="12">
        <v>4438</v>
      </c>
      <c r="C20" s="12" t="s">
        <v>323</v>
      </c>
      <c r="D20" s="12" t="s">
        <v>324</v>
      </c>
      <c r="E20" s="12" t="s">
        <v>302</v>
      </c>
      <c r="F20" s="12">
        <v>339</v>
      </c>
      <c r="G20" s="12">
        <v>347</v>
      </c>
      <c r="H20" s="12">
        <v>440809</v>
      </c>
      <c r="I20" s="12">
        <v>15</v>
      </c>
    </row>
    <row r="21" spans="1:9" hidden="1" x14ac:dyDescent="0.25">
      <c r="A21" s="12">
        <v>3134</v>
      </c>
      <c r="B21" s="12">
        <v>4437</v>
      </c>
      <c r="C21" s="12" t="s">
        <v>323</v>
      </c>
      <c r="D21" s="12" t="s">
        <v>325</v>
      </c>
      <c r="E21" s="12" t="s">
        <v>326</v>
      </c>
      <c r="F21" s="12">
        <v>339</v>
      </c>
      <c r="G21" s="12">
        <v>347</v>
      </c>
      <c r="H21" s="12">
        <v>440809</v>
      </c>
      <c r="I21" s="12">
        <v>2</v>
      </c>
    </row>
    <row r="22" spans="1:9" hidden="1" x14ac:dyDescent="0.25">
      <c r="A22" s="12">
        <v>3134</v>
      </c>
      <c r="B22" s="12">
        <v>4439</v>
      </c>
      <c r="C22" s="12" t="s">
        <v>323</v>
      </c>
      <c r="D22" s="12" t="s">
        <v>327</v>
      </c>
      <c r="E22" s="12" t="s">
        <v>305</v>
      </c>
      <c r="F22" s="12">
        <v>339</v>
      </c>
      <c r="G22" s="12">
        <v>347</v>
      </c>
      <c r="H22" s="12">
        <v>440809</v>
      </c>
      <c r="I22" s="12">
        <v>10.1999999999999</v>
      </c>
    </row>
    <row r="23" spans="1:9" hidden="1" x14ac:dyDescent="0.25">
      <c r="A23" s="12">
        <v>3134</v>
      </c>
      <c r="B23" s="12">
        <v>4436</v>
      </c>
      <c r="C23" s="12" t="s">
        <v>323</v>
      </c>
      <c r="D23" s="12" t="s">
        <v>328</v>
      </c>
      <c r="E23" s="12" t="s">
        <v>309</v>
      </c>
      <c r="F23" s="12">
        <v>339</v>
      </c>
      <c r="G23" s="12">
        <v>347</v>
      </c>
      <c r="H23" s="12">
        <v>440809</v>
      </c>
      <c r="I23" s="12">
        <v>3000</v>
      </c>
    </row>
    <row r="24" spans="1:9" hidden="1" x14ac:dyDescent="0.25">
      <c r="A24" s="12">
        <v>3134</v>
      </c>
      <c r="B24" s="12">
        <v>4442</v>
      </c>
      <c r="C24" s="12" t="s">
        <v>323</v>
      </c>
      <c r="D24" s="12" t="s">
        <v>329</v>
      </c>
      <c r="E24" s="12" t="s">
        <v>308</v>
      </c>
      <c r="F24" s="12">
        <v>339</v>
      </c>
      <c r="G24" s="12">
        <v>347</v>
      </c>
      <c r="H24" s="12">
        <v>440809</v>
      </c>
      <c r="I24" s="12">
        <v>15</v>
      </c>
    </row>
    <row r="25" spans="1:9" hidden="1" x14ac:dyDescent="0.25">
      <c r="A25" s="12">
        <v>3134</v>
      </c>
      <c r="B25" s="12">
        <v>4441</v>
      </c>
      <c r="C25" s="12" t="s">
        <v>323</v>
      </c>
      <c r="D25" s="12" t="s">
        <v>330</v>
      </c>
      <c r="E25" s="12" t="s">
        <v>331</v>
      </c>
      <c r="F25" s="12">
        <v>339</v>
      </c>
      <c r="G25" s="12">
        <v>347</v>
      </c>
      <c r="H25" s="12">
        <v>440809</v>
      </c>
      <c r="I25" s="12">
        <v>2</v>
      </c>
    </row>
    <row r="26" spans="1:9" hidden="1" x14ac:dyDescent="0.25">
      <c r="A26" s="12">
        <v>3134</v>
      </c>
      <c r="B26" s="12">
        <v>4443</v>
      </c>
      <c r="C26" s="12" t="s">
        <v>323</v>
      </c>
      <c r="D26" s="12" t="s">
        <v>332</v>
      </c>
      <c r="E26" s="12" t="s">
        <v>333</v>
      </c>
      <c r="F26" s="12">
        <v>339</v>
      </c>
      <c r="G26" s="12">
        <v>347</v>
      </c>
      <c r="H26" s="12">
        <v>440809</v>
      </c>
      <c r="I26" s="12">
        <v>15</v>
      </c>
    </row>
    <row r="27" spans="1:9" hidden="1" x14ac:dyDescent="0.25">
      <c r="A27" s="12">
        <v>3134</v>
      </c>
      <c r="B27" s="12">
        <v>4440</v>
      </c>
      <c r="C27" s="12" t="s">
        <v>323</v>
      </c>
      <c r="D27" s="12" t="s">
        <v>334</v>
      </c>
      <c r="E27" s="12" t="s">
        <v>315</v>
      </c>
      <c r="F27" s="12">
        <v>339</v>
      </c>
      <c r="G27" s="12">
        <v>347</v>
      </c>
      <c r="H27" s="12">
        <v>440809</v>
      </c>
      <c r="I27" s="12">
        <v>6000</v>
      </c>
    </row>
    <row r="28" spans="1:9" hidden="1" x14ac:dyDescent="0.25">
      <c r="A28" s="12">
        <v>3134</v>
      </c>
      <c r="B28" s="12">
        <v>4446</v>
      </c>
      <c r="C28" s="12" t="s">
        <v>323</v>
      </c>
      <c r="D28" s="12" t="s">
        <v>335</v>
      </c>
      <c r="E28" s="12" t="s">
        <v>336</v>
      </c>
      <c r="F28" s="12">
        <v>339</v>
      </c>
      <c r="G28" s="12">
        <v>347</v>
      </c>
      <c r="H28" s="12">
        <v>440809</v>
      </c>
      <c r="I28" s="12">
        <v>30</v>
      </c>
    </row>
    <row r="29" spans="1:9" hidden="1" x14ac:dyDescent="0.25">
      <c r="A29" s="12">
        <v>3134</v>
      </c>
      <c r="B29" s="12">
        <v>4445</v>
      </c>
      <c r="C29" s="12" t="s">
        <v>323</v>
      </c>
      <c r="D29" s="12" t="s">
        <v>337</v>
      </c>
      <c r="E29" s="12" t="s">
        <v>338</v>
      </c>
      <c r="F29" s="12">
        <v>339</v>
      </c>
      <c r="G29" s="12">
        <v>347</v>
      </c>
      <c r="H29" s="12">
        <v>440809</v>
      </c>
      <c r="I29" s="12">
        <v>2</v>
      </c>
    </row>
    <row r="30" spans="1:9" hidden="1" x14ac:dyDescent="0.25">
      <c r="A30" s="12">
        <v>3134</v>
      </c>
      <c r="B30" s="12">
        <v>4447</v>
      </c>
      <c r="C30" s="12" t="s">
        <v>323</v>
      </c>
      <c r="D30" s="12" t="s">
        <v>339</v>
      </c>
      <c r="E30" s="12" t="s">
        <v>340</v>
      </c>
      <c r="F30" s="12">
        <v>339</v>
      </c>
      <c r="G30" s="12">
        <v>347</v>
      </c>
      <c r="H30" s="12">
        <v>440809</v>
      </c>
      <c r="I30" s="12">
        <v>25.1999999999999</v>
      </c>
    </row>
    <row r="31" spans="1:9" hidden="1" x14ac:dyDescent="0.25">
      <c r="A31" s="12">
        <v>3134</v>
      </c>
      <c r="B31" s="12">
        <v>4444</v>
      </c>
      <c r="C31" s="12" t="s">
        <v>323</v>
      </c>
      <c r="D31" s="12" t="s">
        <v>341</v>
      </c>
      <c r="E31" s="12" t="s">
        <v>342</v>
      </c>
      <c r="F31" s="12">
        <v>339</v>
      </c>
      <c r="G31" s="12">
        <v>347</v>
      </c>
      <c r="H31" s="12">
        <v>440809</v>
      </c>
      <c r="I31" s="12">
        <v>9000</v>
      </c>
    </row>
    <row r="32" spans="1:9" hidden="1" x14ac:dyDescent="0.25">
      <c r="A32" s="12">
        <v>3134</v>
      </c>
      <c r="B32" s="12">
        <v>4450</v>
      </c>
      <c r="C32" s="12" t="s">
        <v>323</v>
      </c>
      <c r="D32" s="12" t="s">
        <v>343</v>
      </c>
      <c r="E32" s="12" t="s">
        <v>344</v>
      </c>
      <c r="F32" s="12">
        <v>339</v>
      </c>
      <c r="G32" s="12">
        <v>347</v>
      </c>
      <c r="H32" s="12">
        <v>440809</v>
      </c>
      <c r="I32" s="12">
        <v>30</v>
      </c>
    </row>
    <row r="33" spans="1:9" hidden="1" x14ac:dyDescent="0.25">
      <c r="A33" s="12">
        <v>3134</v>
      </c>
      <c r="B33" s="12">
        <v>4449</v>
      </c>
      <c r="C33" s="12" t="s">
        <v>323</v>
      </c>
      <c r="D33" s="12" t="s">
        <v>345</v>
      </c>
      <c r="E33" s="12" t="s">
        <v>346</v>
      </c>
      <c r="F33" s="12">
        <v>339</v>
      </c>
      <c r="G33" s="12">
        <v>347</v>
      </c>
      <c r="H33" s="12">
        <v>440809</v>
      </c>
      <c r="I33" s="12">
        <v>2</v>
      </c>
    </row>
    <row r="34" spans="1:9" hidden="1" x14ac:dyDescent="0.25">
      <c r="A34" s="12">
        <v>3134</v>
      </c>
      <c r="B34" s="12">
        <v>4451</v>
      </c>
      <c r="C34" s="12" t="s">
        <v>323</v>
      </c>
      <c r="D34" s="12" t="s">
        <v>347</v>
      </c>
      <c r="E34" s="12" t="s">
        <v>348</v>
      </c>
      <c r="F34" s="12">
        <v>339</v>
      </c>
      <c r="G34" s="12">
        <v>347</v>
      </c>
      <c r="H34" s="12">
        <v>440809</v>
      </c>
      <c r="I34" s="12">
        <v>30</v>
      </c>
    </row>
    <row r="35" spans="1:9" hidden="1" x14ac:dyDescent="0.25">
      <c r="A35" s="12">
        <v>3134</v>
      </c>
      <c r="B35" s="12">
        <v>4448</v>
      </c>
      <c r="C35" s="12" t="s">
        <v>323</v>
      </c>
      <c r="D35" s="12" t="s">
        <v>349</v>
      </c>
      <c r="E35" s="12" t="s">
        <v>350</v>
      </c>
      <c r="F35" s="12">
        <v>339</v>
      </c>
      <c r="G35" s="12">
        <v>347</v>
      </c>
      <c r="H35" s="12">
        <v>440809</v>
      </c>
      <c r="I35" s="12">
        <v>12000</v>
      </c>
    </row>
    <row r="36" spans="1:9" hidden="1" x14ac:dyDescent="0.25">
      <c r="A36" s="12">
        <v>3134</v>
      </c>
      <c r="B36" s="12">
        <v>4434</v>
      </c>
      <c r="C36" s="12" t="s">
        <v>323</v>
      </c>
      <c r="D36" s="12" t="s">
        <v>129</v>
      </c>
      <c r="E36" s="12" t="s">
        <v>351</v>
      </c>
      <c r="F36" s="12">
        <v>339</v>
      </c>
      <c r="G36" s="12">
        <v>347</v>
      </c>
      <c r="H36" s="12">
        <v>440809</v>
      </c>
      <c r="I36" s="28">
        <v>46083.401388888888</v>
      </c>
    </row>
    <row r="37" spans="1:9" hidden="1" x14ac:dyDescent="0.25">
      <c r="A37" s="12">
        <v>3134</v>
      </c>
      <c r="B37" s="12">
        <v>4435</v>
      </c>
      <c r="C37" s="12" t="s">
        <v>323</v>
      </c>
      <c r="D37" s="12" t="s">
        <v>352</v>
      </c>
      <c r="E37" s="12" t="s">
        <v>352</v>
      </c>
      <c r="F37" s="12">
        <v>339</v>
      </c>
      <c r="G37" s="12">
        <v>347</v>
      </c>
      <c r="H37" s="12">
        <v>440809</v>
      </c>
      <c r="I37" s="12" t="s">
        <v>353</v>
      </c>
    </row>
    <row r="38" spans="1:9" x14ac:dyDescent="0.25">
      <c r="A38" s="29">
        <v>3134</v>
      </c>
      <c r="B38" s="29">
        <v>4438</v>
      </c>
      <c r="C38" s="29" t="s">
        <v>323</v>
      </c>
      <c r="D38" s="29" t="s">
        <v>324</v>
      </c>
      <c r="E38" s="29" t="s">
        <v>302</v>
      </c>
      <c r="F38" s="29">
        <v>549</v>
      </c>
      <c r="G38" s="29">
        <v>731</v>
      </c>
      <c r="H38" s="29">
        <v>439708</v>
      </c>
      <c r="I38" s="29">
        <v>15</v>
      </c>
    </row>
    <row r="39" spans="1:9" x14ac:dyDescent="0.25">
      <c r="A39" s="29">
        <v>3134</v>
      </c>
      <c r="B39" s="29">
        <v>4437</v>
      </c>
      <c r="C39" s="29" t="s">
        <v>323</v>
      </c>
      <c r="D39" s="29" t="s">
        <v>325</v>
      </c>
      <c r="E39" s="29" t="s">
        <v>326</v>
      </c>
      <c r="F39" s="29">
        <v>549</v>
      </c>
      <c r="G39" s="29">
        <v>731</v>
      </c>
      <c r="H39" s="29">
        <v>439708</v>
      </c>
      <c r="I39" s="29">
        <v>2</v>
      </c>
    </row>
    <row r="40" spans="1:9" x14ac:dyDescent="0.25">
      <c r="A40" s="29">
        <v>3134</v>
      </c>
      <c r="B40" s="29">
        <v>4439</v>
      </c>
      <c r="C40" s="29" t="s">
        <v>323</v>
      </c>
      <c r="D40" s="29" t="s">
        <v>327</v>
      </c>
      <c r="E40" s="29" t="s">
        <v>305</v>
      </c>
      <c r="F40" s="29">
        <v>549</v>
      </c>
      <c r="G40" s="29">
        <v>731</v>
      </c>
      <c r="H40" s="29">
        <v>439708</v>
      </c>
      <c r="I40" s="29">
        <v>3.3999999999999901</v>
      </c>
    </row>
    <row r="41" spans="1:9" x14ac:dyDescent="0.25">
      <c r="A41" s="29">
        <v>3134</v>
      </c>
      <c r="B41" s="29">
        <v>4436</v>
      </c>
      <c r="C41" s="29" t="s">
        <v>323</v>
      </c>
      <c r="D41" s="29" t="s">
        <v>328</v>
      </c>
      <c r="E41" s="29" t="s">
        <v>309</v>
      </c>
      <c r="F41" s="29">
        <v>549</v>
      </c>
      <c r="G41" s="29">
        <v>731</v>
      </c>
      <c r="H41" s="29">
        <v>439708</v>
      </c>
      <c r="I41" s="29">
        <v>1000</v>
      </c>
    </row>
    <row r="42" spans="1:9" x14ac:dyDescent="0.25">
      <c r="A42" s="29">
        <v>3134</v>
      </c>
      <c r="B42" s="29">
        <v>4442</v>
      </c>
      <c r="C42" s="29" t="s">
        <v>323</v>
      </c>
      <c r="D42" s="29" t="s">
        <v>329</v>
      </c>
      <c r="E42" s="29" t="s">
        <v>308</v>
      </c>
      <c r="F42" s="29">
        <v>549</v>
      </c>
      <c r="G42" s="29">
        <v>731</v>
      </c>
      <c r="H42" s="29">
        <v>439708</v>
      </c>
      <c r="I42" s="29">
        <v>15</v>
      </c>
    </row>
    <row r="43" spans="1:9" x14ac:dyDescent="0.25">
      <c r="A43" s="29">
        <v>3134</v>
      </c>
      <c r="B43" s="29">
        <v>4441</v>
      </c>
      <c r="C43" s="29" t="s">
        <v>323</v>
      </c>
      <c r="D43" s="29" t="s">
        <v>330</v>
      </c>
      <c r="E43" s="29" t="s">
        <v>331</v>
      </c>
      <c r="F43" s="29">
        <v>549</v>
      </c>
      <c r="G43" s="29">
        <v>731</v>
      </c>
      <c r="H43" s="29">
        <v>439708</v>
      </c>
      <c r="I43" s="29">
        <v>2</v>
      </c>
    </row>
    <row r="44" spans="1:9" x14ac:dyDescent="0.25">
      <c r="A44" s="29">
        <v>3134</v>
      </c>
      <c r="B44" s="29">
        <v>4443</v>
      </c>
      <c r="C44" s="29" t="s">
        <v>323</v>
      </c>
      <c r="D44" s="29" t="s">
        <v>332</v>
      </c>
      <c r="E44" s="29" t="s">
        <v>333</v>
      </c>
      <c r="F44" s="29">
        <v>549</v>
      </c>
      <c r="G44" s="29">
        <v>731</v>
      </c>
      <c r="H44" s="29">
        <v>439708</v>
      </c>
      <c r="I44" s="29">
        <v>6.7999999999999901</v>
      </c>
    </row>
    <row r="45" spans="1:9" x14ac:dyDescent="0.25">
      <c r="A45" s="29">
        <v>3134</v>
      </c>
      <c r="B45" s="29">
        <v>4440</v>
      </c>
      <c r="C45" s="29" t="s">
        <v>323</v>
      </c>
      <c r="D45" s="29" t="s">
        <v>334</v>
      </c>
      <c r="E45" s="29" t="s">
        <v>315</v>
      </c>
      <c r="F45" s="29">
        <v>549</v>
      </c>
      <c r="G45" s="29">
        <v>731</v>
      </c>
      <c r="H45" s="29">
        <v>439708</v>
      </c>
      <c r="I45" s="29">
        <v>2000</v>
      </c>
    </row>
    <row r="46" spans="1:9" x14ac:dyDescent="0.25">
      <c r="A46" s="29">
        <v>3134</v>
      </c>
      <c r="B46" s="29">
        <v>4446</v>
      </c>
      <c r="C46" s="29" t="s">
        <v>323</v>
      </c>
      <c r="D46" s="29" t="s">
        <v>335</v>
      </c>
      <c r="E46" s="29" t="s">
        <v>336</v>
      </c>
      <c r="F46" s="29">
        <v>549</v>
      </c>
      <c r="G46" s="29">
        <v>731</v>
      </c>
      <c r="H46" s="29">
        <v>439708</v>
      </c>
      <c r="I46" s="29">
        <v>15</v>
      </c>
    </row>
    <row r="47" spans="1:9" x14ac:dyDescent="0.25">
      <c r="A47" s="29">
        <v>3134</v>
      </c>
      <c r="B47" s="29">
        <v>4445</v>
      </c>
      <c r="C47" s="29" t="s">
        <v>323</v>
      </c>
      <c r="D47" s="29" t="s">
        <v>337</v>
      </c>
      <c r="E47" s="29" t="s">
        <v>338</v>
      </c>
      <c r="F47" s="29">
        <v>549</v>
      </c>
      <c r="G47" s="29">
        <v>731</v>
      </c>
      <c r="H47" s="29">
        <v>439708</v>
      </c>
      <c r="I47" s="29">
        <v>2</v>
      </c>
    </row>
    <row r="48" spans="1:9" x14ac:dyDescent="0.25">
      <c r="A48" s="29">
        <v>3134</v>
      </c>
      <c r="B48" s="29">
        <v>4447</v>
      </c>
      <c r="C48" s="29" t="s">
        <v>323</v>
      </c>
      <c r="D48" s="29" t="s">
        <v>339</v>
      </c>
      <c r="E48" s="29" t="s">
        <v>340</v>
      </c>
      <c r="F48" s="29">
        <v>549</v>
      </c>
      <c r="G48" s="29">
        <v>731</v>
      </c>
      <c r="H48" s="29">
        <v>439708</v>
      </c>
      <c r="I48" s="29">
        <v>10.1999999999999</v>
      </c>
    </row>
    <row r="49" spans="1:9" x14ac:dyDescent="0.25">
      <c r="A49" s="29">
        <v>3134</v>
      </c>
      <c r="B49" s="29">
        <v>4444</v>
      </c>
      <c r="C49" s="29" t="s">
        <v>323</v>
      </c>
      <c r="D49" s="29" t="s">
        <v>341</v>
      </c>
      <c r="E49" s="29" t="s">
        <v>342</v>
      </c>
      <c r="F49" s="29">
        <v>549</v>
      </c>
      <c r="G49" s="29">
        <v>731</v>
      </c>
      <c r="H49" s="29">
        <v>439708</v>
      </c>
      <c r="I49" s="29">
        <v>3000</v>
      </c>
    </row>
    <row r="50" spans="1:9" x14ac:dyDescent="0.25">
      <c r="A50" s="29">
        <v>3134</v>
      </c>
      <c r="B50" s="29">
        <v>4450</v>
      </c>
      <c r="C50" s="29" t="s">
        <v>323</v>
      </c>
      <c r="D50" s="29" t="s">
        <v>343</v>
      </c>
      <c r="E50" s="29" t="s">
        <v>344</v>
      </c>
      <c r="F50" s="29">
        <v>549</v>
      </c>
      <c r="G50" s="29">
        <v>731</v>
      </c>
      <c r="H50" s="29">
        <v>439708</v>
      </c>
      <c r="I50" s="29">
        <v>15</v>
      </c>
    </row>
    <row r="51" spans="1:9" x14ac:dyDescent="0.25">
      <c r="A51" s="29">
        <v>3134</v>
      </c>
      <c r="B51" s="29">
        <v>4449</v>
      </c>
      <c r="C51" s="29" t="s">
        <v>323</v>
      </c>
      <c r="D51" s="29" t="s">
        <v>345</v>
      </c>
      <c r="E51" s="29" t="s">
        <v>346</v>
      </c>
      <c r="F51" s="29">
        <v>549</v>
      </c>
      <c r="G51" s="29">
        <v>731</v>
      </c>
      <c r="H51" s="29">
        <v>439708</v>
      </c>
      <c r="I51" s="29">
        <v>2</v>
      </c>
    </row>
    <row r="52" spans="1:9" x14ac:dyDescent="0.25">
      <c r="A52" s="29">
        <v>3134</v>
      </c>
      <c r="B52" s="29">
        <v>4451</v>
      </c>
      <c r="C52" s="29" t="s">
        <v>323</v>
      </c>
      <c r="D52" s="29" t="s">
        <v>347</v>
      </c>
      <c r="E52" s="29" t="s">
        <v>348</v>
      </c>
      <c r="F52" s="29">
        <v>549</v>
      </c>
      <c r="G52" s="29">
        <v>731</v>
      </c>
      <c r="H52" s="29">
        <v>439708</v>
      </c>
      <c r="I52" s="29">
        <v>13.5</v>
      </c>
    </row>
    <row r="53" spans="1:9" x14ac:dyDescent="0.25">
      <c r="A53" s="29">
        <v>3134</v>
      </c>
      <c r="B53" s="29">
        <v>4448</v>
      </c>
      <c r="C53" s="29" t="s">
        <v>323</v>
      </c>
      <c r="D53" s="29" t="s">
        <v>349</v>
      </c>
      <c r="E53" s="29" t="s">
        <v>350</v>
      </c>
      <c r="F53" s="29">
        <v>549</v>
      </c>
      <c r="G53" s="29">
        <v>731</v>
      </c>
      <c r="H53" s="29">
        <v>439708</v>
      </c>
      <c r="I53" s="29">
        <v>4000</v>
      </c>
    </row>
    <row r="54" spans="1:9" x14ac:dyDescent="0.25">
      <c r="A54" s="29">
        <v>3134</v>
      </c>
      <c r="B54" s="29">
        <v>4434</v>
      </c>
      <c r="C54" s="29" t="s">
        <v>323</v>
      </c>
      <c r="D54" s="29" t="s">
        <v>129</v>
      </c>
      <c r="E54" s="29" t="s">
        <v>351</v>
      </c>
      <c r="F54" s="29">
        <v>549</v>
      </c>
      <c r="G54" s="29">
        <v>731</v>
      </c>
      <c r="H54" s="29">
        <v>439708</v>
      </c>
      <c r="I54" s="30">
        <v>46064.427777777775</v>
      </c>
    </row>
    <row r="55" spans="1:9" x14ac:dyDescent="0.25">
      <c r="A55" s="29">
        <v>3134</v>
      </c>
      <c r="B55" s="29">
        <v>4435</v>
      </c>
      <c r="C55" s="29" t="s">
        <v>323</v>
      </c>
      <c r="D55" s="29" t="s">
        <v>352</v>
      </c>
      <c r="E55" s="29" t="s">
        <v>352</v>
      </c>
      <c r="F55" s="29">
        <v>549</v>
      </c>
      <c r="G55" s="29">
        <v>731</v>
      </c>
      <c r="H55" s="29">
        <v>439708</v>
      </c>
      <c r="I55" s="29" t="s">
        <v>353</v>
      </c>
    </row>
    <row r="56" spans="1:9" x14ac:dyDescent="0.25">
      <c r="A56" s="31">
        <v>3134</v>
      </c>
      <c r="B56" s="31">
        <v>4438</v>
      </c>
      <c r="C56" s="31" t="s">
        <v>323</v>
      </c>
      <c r="D56" s="31" t="s">
        <v>324</v>
      </c>
      <c r="E56" s="31" t="s">
        <v>302</v>
      </c>
      <c r="F56" s="31">
        <v>549</v>
      </c>
      <c r="G56" s="31">
        <v>731</v>
      </c>
      <c r="H56" s="31">
        <v>439788</v>
      </c>
      <c r="I56" s="31">
        <v>15</v>
      </c>
    </row>
    <row r="57" spans="1:9" x14ac:dyDescent="0.25">
      <c r="A57" s="31">
        <v>3134</v>
      </c>
      <c r="B57" s="31">
        <v>4437</v>
      </c>
      <c r="C57" s="31" t="s">
        <v>323</v>
      </c>
      <c r="D57" s="31" t="s">
        <v>325</v>
      </c>
      <c r="E57" s="31" t="s">
        <v>326</v>
      </c>
      <c r="F57" s="31">
        <v>549</v>
      </c>
      <c r="G57" s="31">
        <v>731</v>
      </c>
      <c r="H57" s="31">
        <v>439788</v>
      </c>
      <c r="I57" s="31">
        <v>2</v>
      </c>
    </row>
    <row r="58" spans="1:9" x14ac:dyDescent="0.25">
      <c r="A58" s="31">
        <v>3134</v>
      </c>
      <c r="B58" s="31">
        <v>4439</v>
      </c>
      <c r="C58" s="31" t="s">
        <v>323</v>
      </c>
      <c r="D58" s="31" t="s">
        <v>327</v>
      </c>
      <c r="E58" s="31" t="s">
        <v>305</v>
      </c>
      <c r="F58" s="31">
        <v>549</v>
      </c>
      <c r="G58" s="31">
        <v>731</v>
      </c>
      <c r="H58" s="31">
        <v>439788</v>
      </c>
      <c r="I58" s="31">
        <v>17</v>
      </c>
    </row>
    <row r="59" spans="1:9" x14ac:dyDescent="0.25">
      <c r="A59" s="31">
        <v>3134</v>
      </c>
      <c r="B59" s="31">
        <v>4436</v>
      </c>
      <c r="C59" s="31" t="s">
        <v>323</v>
      </c>
      <c r="D59" s="31" t="s">
        <v>328</v>
      </c>
      <c r="E59" s="31" t="s">
        <v>309</v>
      </c>
      <c r="F59" s="31">
        <v>549</v>
      </c>
      <c r="G59" s="31">
        <v>731</v>
      </c>
      <c r="H59" s="31">
        <v>439788</v>
      </c>
      <c r="I59" s="31">
        <v>5000</v>
      </c>
    </row>
    <row r="60" spans="1:9" x14ac:dyDescent="0.25">
      <c r="A60" s="31">
        <v>3134</v>
      </c>
      <c r="B60" s="31">
        <v>4442</v>
      </c>
      <c r="C60" s="31" t="s">
        <v>323</v>
      </c>
      <c r="D60" s="31" t="s">
        <v>329</v>
      </c>
      <c r="E60" s="31" t="s">
        <v>308</v>
      </c>
      <c r="F60" s="31">
        <v>549</v>
      </c>
      <c r="G60" s="31">
        <v>731</v>
      </c>
      <c r="H60" s="31">
        <v>439788</v>
      </c>
      <c r="I60" s="31">
        <v>15</v>
      </c>
    </row>
    <row r="61" spans="1:9" x14ac:dyDescent="0.25">
      <c r="A61" s="31">
        <v>3134</v>
      </c>
      <c r="B61" s="31">
        <v>4441</v>
      </c>
      <c r="C61" s="31" t="s">
        <v>323</v>
      </c>
      <c r="D61" s="31" t="s">
        <v>330</v>
      </c>
      <c r="E61" s="31" t="s">
        <v>331</v>
      </c>
      <c r="F61" s="31">
        <v>549</v>
      </c>
      <c r="G61" s="31">
        <v>731</v>
      </c>
      <c r="H61" s="31">
        <v>439788</v>
      </c>
      <c r="I61" s="31">
        <v>2</v>
      </c>
    </row>
    <row r="62" spans="1:9" x14ac:dyDescent="0.25">
      <c r="A62" s="31">
        <v>3134</v>
      </c>
      <c r="B62" s="31">
        <v>4443</v>
      </c>
      <c r="C62" s="31" t="s">
        <v>323</v>
      </c>
      <c r="D62" s="31" t="s">
        <v>332</v>
      </c>
      <c r="E62" s="31" t="s">
        <v>333</v>
      </c>
      <c r="F62" s="31">
        <v>549</v>
      </c>
      <c r="G62" s="31">
        <v>731</v>
      </c>
      <c r="H62" s="31">
        <v>439788</v>
      </c>
      <c r="I62" s="31">
        <v>15</v>
      </c>
    </row>
    <row r="63" spans="1:9" x14ac:dyDescent="0.25">
      <c r="A63" s="31">
        <v>3134</v>
      </c>
      <c r="B63" s="31">
        <v>4440</v>
      </c>
      <c r="C63" s="31" t="s">
        <v>323</v>
      </c>
      <c r="D63" s="31" t="s">
        <v>334</v>
      </c>
      <c r="E63" s="31" t="s">
        <v>315</v>
      </c>
      <c r="F63" s="31">
        <v>549</v>
      </c>
      <c r="G63" s="31">
        <v>731</v>
      </c>
      <c r="H63" s="31">
        <v>439788</v>
      </c>
      <c r="I63" s="31">
        <v>6000</v>
      </c>
    </row>
    <row r="64" spans="1:9" x14ac:dyDescent="0.25">
      <c r="A64" s="31">
        <v>3134</v>
      </c>
      <c r="B64" s="31">
        <v>4446</v>
      </c>
      <c r="C64" s="31" t="s">
        <v>323</v>
      </c>
      <c r="D64" s="31" t="s">
        <v>335</v>
      </c>
      <c r="E64" s="31" t="s">
        <v>336</v>
      </c>
      <c r="F64" s="31">
        <v>549</v>
      </c>
      <c r="G64" s="31">
        <v>731</v>
      </c>
      <c r="H64" s="31">
        <v>439788</v>
      </c>
      <c r="I64" s="31" t="s">
        <v>267</v>
      </c>
    </row>
    <row r="65" spans="1:9" x14ac:dyDescent="0.25">
      <c r="A65" s="31">
        <v>3134</v>
      </c>
      <c r="B65" s="31">
        <v>4445</v>
      </c>
      <c r="C65" s="31" t="s">
        <v>323</v>
      </c>
      <c r="D65" s="31" t="s">
        <v>337</v>
      </c>
      <c r="E65" s="31" t="s">
        <v>338</v>
      </c>
      <c r="F65" s="31">
        <v>549</v>
      </c>
      <c r="G65" s="31">
        <v>731</v>
      </c>
      <c r="H65" s="31">
        <v>439788</v>
      </c>
      <c r="I65" s="31" t="s">
        <v>267</v>
      </c>
    </row>
    <row r="66" spans="1:9" x14ac:dyDescent="0.25">
      <c r="A66" s="31">
        <v>3134</v>
      </c>
      <c r="B66" s="31">
        <v>4447</v>
      </c>
      <c r="C66" s="31" t="s">
        <v>323</v>
      </c>
      <c r="D66" s="31" t="s">
        <v>339</v>
      </c>
      <c r="E66" s="31" t="s">
        <v>340</v>
      </c>
      <c r="F66" s="31">
        <v>549</v>
      </c>
      <c r="G66" s="31">
        <v>731</v>
      </c>
      <c r="H66" s="31">
        <v>439788</v>
      </c>
      <c r="I66" s="31" t="s">
        <v>267</v>
      </c>
    </row>
    <row r="67" spans="1:9" x14ac:dyDescent="0.25">
      <c r="A67" s="31">
        <v>3134</v>
      </c>
      <c r="B67" s="31">
        <v>4444</v>
      </c>
      <c r="C67" s="31" t="s">
        <v>323</v>
      </c>
      <c r="D67" s="31" t="s">
        <v>341</v>
      </c>
      <c r="E67" s="31" t="s">
        <v>342</v>
      </c>
      <c r="F67" s="31">
        <v>549</v>
      </c>
      <c r="G67" s="31">
        <v>731</v>
      </c>
      <c r="H67" s="31">
        <v>439788</v>
      </c>
      <c r="I67" s="31" t="s">
        <v>267</v>
      </c>
    </row>
    <row r="68" spans="1:9" x14ac:dyDescent="0.25">
      <c r="A68" s="31">
        <v>3134</v>
      </c>
      <c r="B68" s="31">
        <v>4450</v>
      </c>
      <c r="C68" s="31" t="s">
        <v>323</v>
      </c>
      <c r="D68" s="31" t="s">
        <v>343</v>
      </c>
      <c r="E68" s="31" t="s">
        <v>344</v>
      </c>
      <c r="F68" s="31">
        <v>549</v>
      </c>
      <c r="G68" s="31">
        <v>731</v>
      </c>
      <c r="H68" s="31">
        <v>439788</v>
      </c>
      <c r="I68" s="31" t="s">
        <v>267</v>
      </c>
    </row>
    <row r="69" spans="1:9" x14ac:dyDescent="0.25">
      <c r="A69" s="31">
        <v>3134</v>
      </c>
      <c r="B69" s="31">
        <v>4449</v>
      </c>
      <c r="C69" s="31" t="s">
        <v>323</v>
      </c>
      <c r="D69" s="31" t="s">
        <v>345</v>
      </c>
      <c r="E69" s="31" t="s">
        <v>346</v>
      </c>
      <c r="F69" s="31">
        <v>549</v>
      </c>
      <c r="G69" s="31">
        <v>731</v>
      </c>
      <c r="H69" s="31">
        <v>439788</v>
      </c>
      <c r="I69" s="31" t="s">
        <v>267</v>
      </c>
    </row>
    <row r="70" spans="1:9" x14ac:dyDescent="0.25">
      <c r="A70" s="31">
        <v>3134</v>
      </c>
      <c r="B70" s="31">
        <v>4451</v>
      </c>
      <c r="C70" s="31" t="s">
        <v>323</v>
      </c>
      <c r="D70" s="31" t="s">
        <v>347</v>
      </c>
      <c r="E70" s="31" t="s">
        <v>348</v>
      </c>
      <c r="F70" s="31">
        <v>549</v>
      </c>
      <c r="G70" s="31">
        <v>731</v>
      </c>
      <c r="H70" s="31">
        <v>439788</v>
      </c>
      <c r="I70" s="31" t="s">
        <v>267</v>
      </c>
    </row>
    <row r="71" spans="1:9" x14ac:dyDescent="0.25">
      <c r="A71" s="31">
        <v>3134</v>
      </c>
      <c r="B71" s="31">
        <v>4448</v>
      </c>
      <c r="C71" s="31" t="s">
        <v>323</v>
      </c>
      <c r="D71" s="31" t="s">
        <v>349</v>
      </c>
      <c r="E71" s="31" t="s">
        <v>350</v>
      </c>
      <c r="F71" s="31">
        <v>549</v>
      </c>
      <c r="G71" s="31">
        <v>731</v>
      </c>
      <c r="H71" s="31">
        <v>439788</v>
      </c>
      <c r="I71" s="31" t="s">
        <v>267</v>
      </c>
    </row>
    <row r="72" spans="1:9" x14ac:dyDescent="0.25">
      <c r="A72" s="31">
        <v>3134</v>
      </c>
      <c r="B72" s="31">
        <v>4434</v>
      </c>
      <c r="C72" s="31" t="s">
        <v>323</v>
      </c>
      <c r="D72" s="31" t="s">
        <v>129</v>
      </c>
      <c r="E72" s="31" t="s">
        <v>351</v>
      </c>
      <c r="F72" s="31">
        <v>549</v>
      </c>
      <c r="G72" s="31">
        <v>731</v>
      </c>
      <c r="H72" s="31">
        <v>439788</v>
      </c>
      <c r="I72" s="32">
        <v>46065.380555555559</v>
      </c>
    </row>
    <row r="73" spans="1:9" x14ac:dyDescent="0.25">
      <c r="A73" s="31">
        <v>3134</v>
      </c>
      <c r="B73" s="31">
        <v>4435</v>
      </c>
      <c r="C73" s="31" t="s">
        <v>323</v>
      </c>
      <c r="D73" s="31" t="s">
        <v>352</v>
      </c>
      <c r="E73" s="31" t="s">
        <v>352</v>
      </c>
      <c r="F73" s="31">
        <v>549</v>
      </c>
      <c r="G73" s="31">
        <v>731</v>
      </c>
      <c r="H73" s="31">
        <v>439788</v>
      </c>
      <c r="I73" s="31" t="s">
        <v>353</v>
      </c>
    </row>
  </sheetData>
  <autoFilter ref="A1:I73" xr:uid="{6D4DE53F-5654-4A16-ABB1-0C2DCC39A01C}">
    <filterColumn colId="5">
      <filters>
        <filter val="549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B2E4-41BD-423A-BB39-35DE40FE32E0}">
  <dimension ref="A1:M37"/>
  <sheetViews>
    <sheetView workbookViewId="0">
      <selection activeCell="L1" sqref="L1:M5"/>
    </sheetView>
  </sheetViews>
  <sheetFormatPr defaultRowHeight="15" x14ac:dyDescent="0.25"/>
  <cols>
    <col min="1" max="1" width="11.140625" bestFit="1" customWidth="1"/>
    <col min="2" max="2" width="13" bestFit="1" customWidth="1"/>
    <col min="3" max="3" width="19.28515625" bestFit="1" customWidth="1"/>
    <col min="4" max="4" width="41.28515625" bestFit="1" customWidth="1"/>
    <col min="5" max="5" width="27.140625" bestFit="1" customWidth="1"/>
    <col min="6" max="6" width="14.7109375" bestFit="1" customWidth="1"/>
    <col min="7" max="7" width="9.28515625" bestFit="1" customWidth="1"/>
    <col min="8" max="8" width="15.85546875" bestFit="1" customWidth="1"/>
    <col min="9" max="9" width="15.5703125" bestFit="1" customWidth="1"/>
    <col min="12" max="12" width="43.7109375" bestFit="1" customWidth="1"/>
    <col min="13" max="13" width="41" bestFit="1" customWidth="1"/>
  </cols>
  <sheetData>
    <row r="1" spans="1:13" x14ac:dyDescent="0.25">
      <c r="A1" t="s">
        <v>316</v>
      </c>
      <c r="B1" t="s">
        <v>297</v>
      </c>
      <c r="C1" t="s">
        <v>317</v>
      </c>
      <c r="D1" t="s">
        <v>318</v>
      </c>
      <c r="E1" t="s">
        <v>319</v>
      </c>
      <c r="F1" t="s">
        <v>320</v>
      </c>
      <c r="G1" t="s">
        <v>257</v>
      </c>
      <c r="H1" t="s">
        <v>321</v>
      </c>
      <c r="I1" t="s">
        <v>322</v>
      </c>
      <c r="L1" s="3" t="s">
        <v>375</v>
      </c>
      <c r="M1" s="3" t="s">
        <v>376</v>
      </c>
    </row>
    <row r="2" spans="1:13" x14ac:dyDescent="0.25">
      <c r="A2" s="31">
        <v>3134</v>
      </c>
      <c r="B2" s="31">
        <v>4434</v>
      </c>
      <c r="C2" s="31" t="s">
        <v>323</v>
      </c>
      <c r="D2" s="31" t="s">
        <v>129</v>
      </c>
      <c r="E2" s="31" t="s">
        <v>351</v>
      </c>
      <c r="F2" s="31">
        <v>339</v>
      </c>
      <c r="G2" s="31">
        <v>347</v>
      </c>
      <c r="H2" s="31">
        <v>440747</v>
      </c>
      <c r="I2" s="32">
        <v>46080.57916666667</v>
      </c>
      <c r="L2" s="4" t="s">
        <v>374</v>
      </c>
      <c r="M2" s="4" t="s">
        <v>354</v>
      </c>
    </row>
    <row r="3" spans="1:13" x14ac:dyDescent="0.25">
      <c r="A3" s="31">
        <v>3134</v>
      </c>
      <c r="B3" s="31">
        <v>4435</v>
      </c>
      <c r="C3" s="31" t="s">
        <v>323</v>
      </c>
      <c r="D3" s="31" t="s">
        <v>352</v>
      </c>
      <c r="E3" s="31" t="s">
        <v>352</v>
      </c>
      <c r="F3" s="31">
        <v>339</v>
      </c>
      <c r="G3" s="31">
        <v>347</v>
      </c>
      <c r="H3" s="31">
        <v>440747</v>
      </c>
      <c r="I3" s="31" t="s">
        <v>354</v>
      </c>
      <c r="L3" s="4" t="s">
        <v>377</v>
      </c>
      <c r="M3" s="4" t="s">
        <v>353</v>
      </c>
    </row>
    <row r="4" spans="1:13" x14ac:dyDescent="0.25">
      <c r="A4" s="31">
        <v>3134</v>
      </c>
      <c r="B4" s="31">
        <v>4436</v>
      </c>
      <c r="C4" s="31" t="s">
        <v>323</v>
      </c>
      <c r="D4" s="31" t="s">
        <v>328</v>
      </c>
      <c r="E4" s="31" t="s">
        <v>309</v>
      </c>
      <c r="F4" s="31">
        <v>339</v>
      </c>
      <c r="G4" s="31">
        <v>347</v>
      </c>
      <c r="H4" s="31">
        <v>440747</v>
      </c>
      <c r="I4" s="31">
        <v>1200</v>
      </c>
      <c r="L4" s="4" t="s">
        <v>378</v>
      </c>
      <c r="M4" s="4" t="s">
        <v>380</v>
      </c>
    </row>
    <row r="5" spans="1:13" x14ac:dyDescent="0.25">
      <c r="A5" s="31">
        <v>3134</v>
      </c>
      <c r="B5" s="31">
        <v>4437</v>
      </c>
      <c r="C5" s="31" t="s">
        <v>323</v>
      </c>
      <c r="D5" s="31" t="s">
        <v>325</v>
      </c>
      <c r="E5" s="31" t="s">
        <v>326</v>
      </c>
      <c r="F5" s="31">
        <v>339</v>
      </c>
      <c r="G5" s="31">
        <v>347</v>
      </c>
      <c r="H5" s="31">
        <v>440747</v>
      </c>
      <c r="I5" s="31">
        <v>2</v>
      </c>
      <c r="L5" s="4" t="s">
        <v>379</v>
      </c>
      <c r="M5" s="4" t="s">
        <v>380</v>
      </c>
    </row>
    <row r="6" spans="1:13" x14ac:dyDescent="0.25">
      <c r="A6" s="31">
        <v>3134</v>
      </c>
      <c r="B6" s="31">
        <v>4438</v>
      </c>
      <c r="C6" s="31" t="s">
        <v>323</v>
      </c>
      <c r="D6" s="31" t="s">
        <v>324</v>
      </c>
      <c r="E6" s="31" t="s">
        <v>302</v>
      </c>
      <c r="F6" s="31">
        <v>339</v>
      </c>
      <c r="G6" s="31">
        <v>347</v>
      </c>
      <c r="H6" s="31">
        <v>440747</v>
      </c>
      <c r="I6" s="31">
        <v>30</v>
      </c>
    </row>
    <row r="7" spans="1:13" x14ac:dyDescent="0.25">
      <c r="A7" s="31">
        <v>3134</v>
      </c>
      <c r="B7" s="31">
        <v>4439</v>
      </c>
      <c r="C7" s="31" t="s">
        <v>323</v>
      </c>
      <c r="D7" s="31" t="s">
        <v>327</v>
      </c>
      <c r="E7" s="31" t="s">
        <v>305</v>
      </c>
      <c r="F7" s="31">
        <v>339</v>
      </c>
      <c r="G7" s="31">
        <v>347</v>
      </c>
      <c r="H7" s="31">
        <v>440747</v>
      </c>
      <c r="I7" s="31">
        <v>30</v>
      </c>
    </row>
    <row r="8" spans="1:13" x14ac:dyDescent="0.25">
      <c r="A8" s="31">
        <v>3134</v>
      </c>
      <c r="B8" s="31">
        <v>4440</v>
      </c>
      <c r="C8" s="31" t="s">
        <v>323</v>
      </c>
      <c r="D8" s="31" t="s">
        <v>334</v>
      </c>
      <c r="E8" s="31" t="s">
        <v>315</v>
      </c>
      <c r="F8" s="31">
        <v>339</v>
      </c>
      <c r="G8" s="31">
        <v>347</v>
      </c>
      <c r="H8" s="31">
        <v>440747</v>
      </c>
      <c r="I8" s="31" t="s">
        <v>267</v>
      </c>
    </row>
    <row r="9" spans="1:13" x14ac:dyDescent="0.25">
      <c r="A9" s="31">
        <v>3134</v>
      </c>
      <c r="B9" s="31">
        <v>4441</v>
      </c>
      <c r="C9" s="31" t="s">
        <v>323</v>
      </c>
      <c r="D9" s="31" t="s">
        <v>330</v>
      </c>
      <c r="E9" s="31" t="s">
        <v>331</v>
      </c>
      <c r="F9" s="31">
        <v>339</v>
      </c>
      <c r="G9" s="31">
        <v>347</v>
      </c>
      <c r="H9" s="31">
        <v>440747</v>
      </c>
      <c r="I9" s="31" t="s">
        <v>267</v>
      </c>
    </row>
    <row r="10" spans="1:13" x14ac:dyDescent="0.25">
      <c r="A10" s="31">
        <v>3134</v>
      </c>
      <c r="B10" s="31">
        <v>4442</v>
      </c>
      <c r="C10" s="31" t="s">
        <v>323</v>
      </c>
      <c r="D10" s="31" t="s">
        <v>329</v>
      </c>
      <c r="E10" s="31" t="s">
        <v>308</v>
      </c>
      <c r="F10" s="31">
        <v>339</v>
      </c>
      <c r="G10" s="31">
        <v>347</v>
      </c>
      <c r="H10" s="31">
        <v>440747</v>
      </c>
      <c r="I10" s="31" t="s">
        <v>267</v>
      </c>
    </row>
    <row r="11" spans="1:13" x14ac:dyDescent="0.25">
      <c r="A11" s="31">
        <v>3134</v>
      </c>
      <c r="B11" s="31">
        <v>4443</v>
      </c>
      <c r="C11" s="31" t="s">
        <v>323</v>
      </c>
      <c r="D11" s="31" t="s">
        <v>332</v>
      </c>
      <c r="E11" s="31" t="s">
        <v>333</v>
      </c>
      <c r="F11" s="31">
        <v>339</v>
      </c>
      <c r="G11" s="31">
        <v>347</v>
      </c>
      <c r="H11" s="31">
        <v>440747</v>
      </c>
      <c r="I11" s="31" t="s">
        <v>267</v>
      </c>
    </row>
    <row r="12" spans="1:13" x14ac:dyDescent="0.25">
      <c r="A12" s="31">
        <v>3134</v>
      </c>
      <c r="B12" s="31">
        <v>4444</v>
      </c>
      <c r="C12" s="31" t="s">
        <v>323</v>
      </c>
      <c r="D12" s="31" t="s">
        <v>341</v>
      </c>
      <c r="E12" s="31" t="s">
        <v>342</v>
      </c>
      <c r="F12" s="31">
        <v>339</v>
      </c>
      <c r="G12" s="31">
        <v>347</v>
      </c>
      <c r="H12" s="31">
        <v>440747</v>
      </c>
      <c r="I12" s="31" t="s">
        <v>267</v>
      </c>
    </row>
    <row r="13" spans="1:13" x14ac:dyDescent="0.25">
      <c r="A13" s="31">
        <v>3134</v>
      </c>
      <c r="B13" s="31">
        <v>4445</v>
      </c>
      <c r="C13" s="31" t="s">
        <v>323</v>
      </c>
      <c r="D13" s="31" t="s">
        <v>337</v>
      </c>
      <c r="E13" s="31" t="s">
        <v>338</v>
      </c>
      <c r="F13" s="31">
        <v>339</v>
      </c>
      <c r="G13" s="31">
        <v>347</v>
      </c>
      <c r="H13" s="31">
        <v>440747</v>
      </c>
      <c r="I13" s="31" t="s">
        <v>267</v>
      </c>
    </row>
    <row r="14" spans="1:13" x14ac:dyDescent="0.25">
      <c r="A14" s="31">
        <v>3134</v>
      </c>
      <c r="B14" s="31">
        <v>4446</v>
      </c>
      <c r="C14" s="31" t="s">
        <v>323</v>
      </c>
      <c r="D14" s="31" t="s">
        <v>335</v>
      </c>
      <c r="E14" s="31" t="s">
        <v>336</v>
      </c>
      <c r="F14" s="31">
        <v>339</v>
      </c>
      <c r="G14" s="31">
        <v>347</v>
      </c>
      <c r="H14" s="31">
        <v>440747</v>
      </c>
      <c r="I14" s="31" t="s">
        <v>267</v>
      </c>
    </row>
    <row r="15" spans="1:13" x14ac:dyDescent="0.25">
      <c r="A15" s="31">
        <v>3134</v>
      </c>
      <c r="B15" s="31">
        <v>4447</v>
      </c>
      <c r="C15" s="31" t="s">
        <v>323</v>
      </c>
      <c r="D15" s="31" t="s">
        <v>339</v>
      </c>
      <c r="E15" s="31" t="s">
        <v>340</v>
      </c>
      <c r="F15" s="31">
        <v>339</v>
      </c>
      <c r="G15" s="31">
        <v>347</v>
      </c>
      <c r="H15" s="31">
        <v>440747</v>
      </c>
      <c r="I15" s="31" t="s">
        <v>267</v>
      </c>
    </row>
    <row r="16" spans="1:13" x14ac:dyDescent="0.25">
      <c r="A16" s="31">
        <v>3134</v>
      </c>
      <c r="B16" s="31">
        <v>4448</v>
      </c>
      <c r="C16" s="31" t="s">
        <v>323</v>
      </c>
      <c r="D16" s="31" t="s">
        <v>349</v>
      </c>
      <c r="E16" s="31" t="s">
        <v>350</v>
      </c>
      <c r="F16" s="31">
        <v>339</v>
      </c>
      <c r="G16" s="31">
        <v>347</v>
      </c>
      <c r="H16" s="31">
        <v>440747</v>
      </c>
      <c r="I16" s="31" t="s">
        <v>267</v>
      </c>
    </row>
    <row r="17" spans="1:9" x14ac:dyDescent="0.25">
      <c r="A17" s="31">
        <v>3134</v>
      </c>
      <c r="B17" s="31">
        <v>4449</v>
      </c>
      <c r="C17" s="31" t="s">
        <v>323</v>
      </c>
      <c r="D17" s="31" t="s">
        <v>345</v>
      </c>
      <c r="E17" s="31" t="s">
        <v>346</v>
      </c>
      <c r="F17" s="31">
        <v>339</v>
      </c>
      <c r="G17" s="31">
        <v>347</v>
      </c>
      <c r="H17" s="31">
        <v>440747</v>
      </c>
      <c r="I17" s="31" t="s">
        <v>267</v>
      </c>
    </row>
    <row r="18" spans="1:9" x14ac:dyDescent="0.25">
      <c r="A18" s="31">
        <v>3134</v>
      </c>
      <c r="B18" s="31">
        <v>4450</v>
      </c>
      <c r="C18" s="31" t="s">
        <v>323</v>
      </c>
      <c r="D18" s="31" t="s">
        <v>343</v>
      </c>
      <c r="E18" s="31" t="s">
        <v>344</v>
      </c>
      <c r="F18" s="31">
        <v>339</v>
      </c>
      <c r="G18" s="31">
        <v>347</v>
      </c>
      <c r="H18" s="31">
        <v>440747</v>
      </c>
      <c r="I18" s="31" t="s">
        <v>267</v>
      </c>
    </row>
    <row r="19" spans="1:9" x14ac:dyDescent="0.25">
      <c r="A19" s="31">
        <v>3134</v>
      </c>
      <c r="B19" s="31">
        <v>4451</v>
      </c>
      <c r="C19" s="31" t="s">
        <v>323</v>
      </c>
      <c r="D19" s="31" t="s">
        <v>347</v>
      </c>
      <c r="E19" s="31" t="s">
        <v>348</v>
      </c>
      <c r="F19" s="31">
        <v>339</v>
      </c>
      <c r="G19" s="31">
        <v>347</v>
      </c>
      <c r="H19" s="31">
        <v>440747</v>
      </c>
      <c r="I19" s="31" t="s">
        <v>267</v>
      </c>
    </row>
    <row r="20" spans="1:9" x14ac:dyDescent="0.25">
      <c r="A20" s="33">
        <v>3134</v>
      </c>
      <c r="B20" s="33">
        <v>4434</v>
      </c>
      <c r="C20" s="33" t="s">
        <v>323</v>
      </c>
      <c r="D20" s="33" t="s">
        <v>129</v>
      </c>
      <c r="E20" s="33" t="s">
        <v>351</v>
      </c>
      <c r="F20" s="33">
        <v>549</v>
      </c>
      <c r="G20" s="33">
        <v>731</v>
      </c>
      <c r="H20" s="33">
        <v>439789</v>
      </c>
      <c r="I20" s="34">
        <v>46065.381944444445</v>
      </c>
    </row>
    <row r="21" spans="1:9" x14ac:dyDescent="0.25">
      <c r="A21" s="33">
        <v>3134</v>
      </c>
      <c r="B21" s="33">
        <v>4435</v>
      </c>
      <c r="C21" s="33" t="s">
        <v>323</v>
      </c>
      <c r="D21" s="33" t="s">
        <v>352</v>
      </c>
      <c r="E21" s="33" t="s">
        <v>352</v>
      </c>
      <c r="F21" s="33">
        <v>549</v>
      </c>
      <c r="G21" s="33">
        <v>731</v>
      </c>
      <c r="H21" s="33">
        <v>439789</v>
      </c>
      <c r="I21" s="33" t="s">
        <v>354</v>
      </c>
    </row>
    <row r="22" spans="1:9" x14ac:dyDescent="0.25">
      <c r="A22" s="33">
        <v>3134</v>
      </c>
      <c r="B22" s="33">
        <v>4436</v>
      </c>
      <c r="C22" s="33" t="s">
        <v>323</v>
      </c>
      <c r="D22" s="33" t="s">
        <v>328</v>
      </c>
      <c r="E22" s="33" t="s">
        <v>309</v>
      </c>
      <c r="F22" s="33">
        <v>549</v>
      </c>
      <c r="G22" s="33">
        <v>731</v>
      </c>
      <c r="H22" s="33">
        <v>439789</v>
      </c>
      <c r="I22" s="33">
        <v>6000</v>
      </c>
    </row>
    <row r="23" spans="1:9" x14ac:dyDescent="0.25">
      <c r="A23" s="33">
        <v>3134</v>
      </c>
      <c r="B23" s="33">
        <v>4437</v>
      </c>
      <c r="C23" s="33" t="s">
        <v>323</v>
      </c>
      <c r="D23" s="33" t="s">
        <v>325</v>
      </c>
      <c r="E23" s="33" t="s">
        <v>326</v>
      </c>
      <c r="F23" s="33">
        <v>549</v>
      </c>
      <c r="G23" s="33">
        <v>731</v>
      </c>
      <c r="H23" s="33">
        <v>439789</v>
      </c>
      <c r="I23" s="33">
        <v>2</v>
      </c>
    </row>
    <row r="24" spans="1:9" x14ac:dyDescent="0.25">
      <c r="A24" s="33">
        <v>3134</v>
      </c>
      <c r="B24" s="33">
        <v>4438</v>
      </c>
      <c r="C24" s="33" t="s">
        <v>323</v>
      </c>
      <c r="D24" s="33" t="s">
        <v>324</v>
      </c>
      <c r="E24" s="33" t="s">
        <v>302</v>
      </c>
      <c r="F24" s="33">
        <v>549</v>
      </c>
      <c r="G24" s="33">
        <v>731</v>
      </c>
      <c r="H24" s="33">
        <v>439789</v>
      </c>
      <c r="I24" s="33">
        <v>15</v>
      </c>
    </row>
    <row r="25" spans="1:9" x14ac:dyDescent="0.25">
      <c r="A25" s="33">
        <v>3134</v>
      </c>
      <c r="B25" s="33">
        <v>4439</v>
      </c>
      <c r="C25" s="33" t="s">
        <v>323</v>
      </c>
      <c r="D25" s="33" t="s">
        <v>327</v>
      </c>
      <c r="E25" s="33" t="s">
        <v>305</v>
      </c>
      <c r="F25" s="33">
        <v>549</v>
      </c>
      <c r="G25" s="33">
        <v>731</v>
      </c>
      <c r="H25" s="33">
        <v>439789</v>
      </c>
      <c r="I25" s="33">
        <v>15</v>
      </c>
    </row>
    <row r="26" spans="1:9" x14ac:dyDescent="0.25">
      <c r="A26" s="33">
        <v>3134</v>
      </c>
      <c r="B26" s="33">
        <v>4440</v>
      </c>
      <c r="C26" s="33" t="s">
        <v>323</v>
      </c>
      <c r="D26" s="33" t="s">
        <v>334</v>
      </c>
      <c r="E26" s="33" t="s">
        <v>315</v>
      </c>
      <c r="F26" s="33">
        <v>549</v>
      </c>
      <c r="G26" s="33">
        <v>731</v>
      </c>
      <c r="H26" s="33">
        <v>439789</v>
      </c>
      <c r="I26" s="33" t="s">
        <v>267</v>
      </c>
    </row>
    <row r="27" spans="1:9" x14ac:dyDescent="0.25">
      <c r="A27" s="33">
        <v>3134</v>
      </c>
      <c r="B27" s="33">
        <v>4441</v>
      </c>
      <c r="C27" s="33" t="s">
        <v>323</v>
      </c>
      <c r="D27" s="33" t="s">
        <v>330</v>
      </c>
      <c r="E27" s="33" t="s">
        <v>331</v>
      </c>
      <c r="F27" s="33">
        <v>549</v>
      </c>
      <c r="G27" s="33">
        <v>731</v>
      </c>
      <c r="H27" s="33">
        <v>439789</v>
      </c>
      <c r="I27" s="33" t="s">
        <v>267</v>
      </c>
    </row>
    <row r="28" spans="1:9" x14ac:dyDescent="0.25">
      <c r="A28" s="33">
        <v>3134</v>
      </c>
      <c r="B28" s="33">
        <v>4442</v>
      </c>
      <c r="C28" s="33" t="s">
        <v>323</v>
      </c>
      <c r="D28" s="33" t="s">
        <v>329</v>
      </c>
      <c r="E28" s="33" t="s">
        <v>308</v>
      </c>
      <c r="F28" s="33">
        <v>549</v>
      </c>
      <c r="G28" s="33">
        <v>731</v>
      </c>
      <c r="H28" s="33">
        <v>439789</v>
      </c>
      <c r="I28" s="33" t="s">
        <v>267</v>
      </c>
    </row>
    <row r="29" spans="1:9" x14ac:dyDescent="0.25">
      <c r="A29" s="33">
        <v>3134</v>
      </c>
      <c r="B29" s="33">
        <v>4443</v>
      </c>
      <c r="C29" s="33" t="s">
        <v>323</v>
      </c>
      <c r="D29" s="33" t="s">
        <v>332</v>
      </c>
      <c r="E29" s="33" t="s">
        <v>333</v>
      </c>
      <c r="F29" s="33">
        <v>549</v>
      </c>
      <c r="G29" s="33">
        <v>731</v>
      </c>
      <c r="H29" s="33">
        <v>439789</v>
      </c>
      <c r="I29" s="33" t="s">
        <v>267</v>
      </c>
    </row>
    <row r="30" spans="1:9" x14ac:dyDescent="0.25">
      <c r="A30" s="33">
        <v>3134</v>
      </c>
      <c r="B30" s="33">
        <v>4444</v>
      </c>
      <c r="C30" s="33" t="s">
        <v>323</v>
      </c>
      <c r="D30" s="33" t="s">
        <v>341</v>
      </c>
      <c r="E30" s="33" t="s">
        <v>342</v>
      </c>
      <c r="F30" s="33">
        <v>549</v>
      </c>
      <c r="G30" s="33">
        <v>731</v>
      </c>
      <c r="H30" s="33">
        <v>439789</v>
      </c>
      <c r="I30" s="33" t="s">
        <v>267</v>
      </c>
    </row>
    <row r="31" spans="1:9" x14ac:dyDescent="0.25">
      <c r="A31" s="33">
        <v>3134</v>
      </c>
      <c r="B31" s="33">
        <v>4445</v>
      </c>
      <c r="C31" s="33" t="s">
        <v>323</v>
      </c>
      <c r="D31" s="33" t="s">
        <v>337</v>
      </c>
      <c r="E31" s="33" t="s">
        <v>338</v>
      </c>
      <c r="F31" s="33">
        <v>549</v>
      </c>
      <c r="G31" s="33">
        <v>731</v>
      </c>
      <c r="H31" s="33">
        <v>439789</v>
      </c>
      <c r="I31" s="33" t="s">
        <v>267</v>
      </c>
    </row>
    <row r="32" spans="1:9" x14ac:dyDescent="0.25">
      <c r="A32" s="33">
        <v>3134</v>
      </c>
      <c r="B32" s="33">
        <v>4446</v>
      </c>
      <c r="C32" s="33" t="s">
        <v>323</v>
      </c>
      <c r="D32" s="33" t="s">
        <v>335</v>
      </c>
      <c r="E32" s="33" t="s">
        <v>336</v>
      </c>
      <c r="F32" s="33">
        <v>549</v>
      </c>
      <c r="G32" s="33">
        <v>731</v>
      </c>
      <c r="H32" s="33">
        <v>439789</v>
      </c>
      <c r="I32" s="33" t="s">
        <v>267</v>
      </c>
    </row>
    <row r="33" spans="1:9" x14ac:dyDescent="0.25">
      <c r="A33" s="33">
        <v>3134</v>
      </c>
      <c r="B33" s="33">
        <v>4447</v>
      </c>
      <c r="C33" s="33" t="s">
        <v>323</v>
      </c>
      <c r="D33" s="33" t="s">
        <v>339</v>
      </c>
      <c r="E33" s="33" t="s">
        <v>340</v>
      </c>
      <c r="F33" s="33">
        <v>549</v>
      </c>
      <c r="G33" s="33">
        <v>731</v>
      </c>
      <c r="H33" s="33">
        <v>439789</v>
      </c>
      <c r="I33" s="33" t="s">
        <v>267</v>
      </c>
    </row>
    <row r="34" spans="1:9" x14ac:dyDescent="0.25">
      <c r="A34" s="33">
        <v>3134</v>
      </c>
      <c r="B34" s="33">
        <v>4448</v>
      </c>
      <c r="C34" s="33" t="s">
        <v>323</v>
      </c>
      <c r="D34" s="33" t="s">
        <v>349</v>
      </c>
      <c r="E34" s="33" t="s">
        <v>350</v>
      </c>
      <c r="F34" s="33">
        <v>549</v>
      </c>
      <c r="G34" s="33">
        <v>731</v>
      </c>
      <c r="H34" s="33">
        <v>439789</v>
      </c>
      <c r="I34" s="33" t="s">
        <v>267</v>
      </c>
    </row>
    <row r="35" spans="1:9" x14ac:dyDescent="0.25">
      <c r="A35" s="33">
        <v>3134</v>
      </c>
      <c r="B35" s="33">
        <v>4449</v>
      </c>
      <c r="C35" s="33" t="s">
        <v>323</v>
      </c>
      <c r="D35" s="33" t="s">
        <v>345</v>
      </c>
      <c r="E35" s="33" t="s">
        <v>346</v>
      </c>
      <c r="F35" s="33">
        <v>549</v>
      </c>
      <c r="G35" s="33">
        <v>731</v>
      </c>
      <c r="H35" s="33">
        <v>439789</v>
      </c>
      <c r="I35" s="33" t="s">
        <v>267</v>
      </c>
    </row>
    <row r="36" spans="1:9" x14ac:dyDescent="0.25">
      <c r="A36" s="33">
        <v>3134</v>
      </c>
      <c r="B36" s="33">
        <v>4450</v>
      </c>
      <c r="C36" s="33" t="s">
        <v>323</v>
      </c>
      <c r="D36" s="33" t="s">
        <v>343</v>
      </c>
      <c r="E36" s="33" t="s">
        <v>344</v>
      </c>
      <c r="F36" s="33">
        <v>549</v>
      </c>
      <c r="G36" s="33">
        <v>731</v>
      </c>
      <c r="H36" s="33">
        <v>439789</v>
      </c>
      <c r="I36" s="33" t="s">
        <v>267</v>
      </c>
    </row>
    <row r="37" spans="1:9" x14ac:dyDescent="0.25">
      <c r="A37" s="33">
        <v>3134</v>
      </c>
      <c r="B37" s="33">
        <v>4451</v>
      </c>
      <c r="C37" s="33" t="s">
        <v>323</v>
      </c>
      <c r="D37" s="33" t="s">
        <v>347</v>
      </c>
      <c r="E37" s="33" t="s">
        <v>348</v>
      </c>
      <c r="F37" s="33">
        <v>549</v>
      </c>
      <c r="G37" s="33">
        <v>731</v>
      </c>
      <c r="H37" s="33">
        <v>439789</v>
      </c>
      <c r="I37" s="33" t="s">
        <v>267</v>
      </c>
    </row>
  </sheetData>
  <autoFilter ref="A1:I37" xr:uid="{8FFDB2E4-41BD-423A-BB39-35DE40FE32E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4FC1-4F2B-4915-8A9F-AABEB0A4D123}">
  <dimension ref="A1:BT12"/>
  <sheetViews>
    <sheetView workbookViewId="0">
      <selection activeCell="AB3" sqref="AB3"/>
    </sheetView>
  </sheetViews>
  <sheetFormatPr defaultRowHeight="15" x14ac:dyDescent="0.25"/>
  <cols>
    <col min="1" max="1" width="20.85546875" bestFit="1" customWidth="1"/>
    <col min="2" max="2" width="11.85546875" bestFit="1" customWidth="1"/>
    <col min="3" max="3" width="11.85546875" customWidth="1"/>
    <col min="4" max="5" width="12" bestFit="1" customWidth="1"/>
    <col min="6" max="6" width="18.42578125" bestFit="1" customWidth="1"/>
    <col min="7" max="7" width="11.5703125" bestFit="1" customWidth="1"/>
    <col min="8" max="8" width="13.140625" bestFit="1" customWidth="1"/>
    <col min="9" max="9" width="13.85546875" bestFit="1" customWidth="1"/>
    <col min="10" max="10" width="11.85546875" bestFit="1" customWidth="1"/>
    <col min="11" max="11" width="17.42578125" bestFit="1" customWidth="1"/>
    <col min="12" max="12" width="17" bestFit="1" customWidth="1"/>
    <col min="13" max="13" width="32.140625" bestFit="1" customWidth="1"/>
    <col min="14" max="14" width="14" bestFit="1" customWidth="1"/>
    <col min="15" max="15" width="16.42578125" bestFit="1" customWidth="1"/>
    <col min="16" max="16" width="16.140625" bestFit="1" customWidth="1"/>
    <col min="17" max="17" width="32.140625" bestFit="1" customWidth="1"/>
    <col min="18" max="18" width="6" bestFit="1" customWidth="1"/>
    <col min="19" max="19" width="10" bestFit="1" customWidth="1"/>
    <col min="20" max="20" width="20.140625" bestFit="1" customWidth="1"/>
    <col min="21" max="21" width="27.5703125" bestFit="1" customWidth="1"/>
    <col min="22" max="22" width="13.85546875" bestFit="1" customWidth="1"/>
    <col min="23" max="23" width="14.42578125" bestFit="1" customWidth="1"/>
    <col min="24" max="24" width="17.5703125" bestFit="1" customWidth="1"/>
    <col min="25" max="25" width="18.85546875" bestFit="1" customWidth="1"/>
    <col min="26" max="26" width="11.140625" bestFit="1" customWidth="1"/>
    <col min="27" max="27" width="11.7109375" bestFit="1" customWidth="1"/>
    <col min="28" max="28" width="13.5703125" bestFit="1" customWidth="1"/>
    <col min="29" max="29" width="11" bestFit="1" customWidth="1"/>
    <col min="30" max="30" width="14.7109375" bestFit="1" customWidth="1"/>
    <col min="31" max="31" width="14.42578125" bestFit="1" customWidth="1"/>
    <col min="32" max="32" width="15.85546875" bestFit="1" customWidth="1"/>
    <col min="33" max="33" width="8.42578125" bestFit="1" customWidth="1"/>
    <col min="34" max="34" width="26.85546875" bestFit="1" customWidth="1"/>
    <col min="35" max="35" width="11.5703125" bestFit="1" customWidth="1"/>
    <col min="36" max="36" width="9.28515625" bestFit="1" customWidth="1"/>
    <col min="37" max="37" width="7.7109375" bestFit="1" customWidth="1"/>
    <col min="38" max="38" width="17.42578125" bestFit="1" customWidth="1"/>
    <col min="39" max="39" width="19.5703125" bestFit="1" customWidth="1"/>
    <col min="40" max="40" width="16.85546875" bestFit="1" customWidth="1"/>
    <col min="41" max="41" width="19" bestFit="1" customWidth="1"/>
    <col min="42" max="42" width="6" bestFit="1" customWidth="1"/>
    <col min="43" max="43" width="20.42578125" bestFit="1" customWidth="1"/>
    <col min="44" max="44" width="20.140625" bestFit="1" customWidth="1"/>
    <col min="45" max="45" width="13.28515625" bestFit="1" customWidth="1"/>
    <col min="46" max="46" width="10.85546875" bestFit="1" customWidth="1"/>
    <col min="47" max="47" width="7.42578125" bestFit="1" customWidth="1"/>
    <col min="48" max="48" width="91.85546875" bestFit="1" customWidth="1"/>
    <col min="49" max="50" width="18" bestFit="1" customWidth="1"/>
    <col min="51" max="51" width="12.28515625" bestFit="1" customWidth="1"/>
    <col min="52" max="52" width="13.5703125" bestFit="1" customWidth="1"/>
    <col min="53" max="53" width="11.85546875" bestFit="1" customWidth="1"/>
    <col min="54" max="54" width="18.7109375" bestFit="1" customWidth="1"/>
    <col min="55" max="55" width="28.85546875" bestFit="1" customWidth="1"/>
    <col min="56" max="56" width="20.140625" bestFit="1" customWidth="1"/>
    <col min="57" max="57" width="12.42578125" bestFit="1" customWidth="1"/>
    <col min="58" max="58" width="16.28515625" bestFit="1" customWidth="1"/>
    <col min="59" max="59" width="29.42578125" bestFit="1" customWidth="1"/>
    <col min="60" max="60" width="25" bestFit="1" customWidth="1"/>
    <col min="61" max="61" width="22.140625" bestFit="1" customWidth="1"/>
    <col min="62" max="62" width="24.42578125" bestFit="1" customWidth="1"/>
    <col min="63" max="63" width="12.42578125" bestFit="1" customWidth="1"/>
    <col min="64" max="64" width="20" bestFit="1" customWidth="1"/>
    <col min="65" max="65" width="16.140625" bestFit="1" customWidth="1"/>
    <col min="66" max="72" width="10.5703125" bestFit="1" customWidth="1"/>
  </cols>
  <sheetData>
    <row r="1" spans="1:72" x14ac:dyDescent="0.25">
      <c r="A1" t="s">
        <v>381</v>
      </c>
      <c r="B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  <c r="Q1" t="s">
        <v>396</v>
      </c>
      <c r="R1" t="s">
        <v>397</v>
      </c>
      <c r="S1" t="s">
        <v>398</v>
      </c>
      <c r="T1" t="s">
        <v>399</v>
      </c>
      <c r="U1" t="s">
        <v>400</v>
      </c>
      <c r="V1" t="s">
        <v>401</v>
      </c>
      <c r="W1" t="s">
        <v>402</v>
      </c>
      <c r="X1" t="s">
        <v>403</v>
      </c>
      <c r="Y1" t="s">
        <v>404</v>
      </c>
      <c r="Z1" t="s">
        <v>405</v>
      </c>
      <c r="AA1" t="s">
        <v>406</v>
      </c>
      <c r="AB1" t="s">
        <v>407</v>
      </c>
      <c r="AC1" t="s">
        <v>408</v>
      </c>
      <c r="AD1" t="s">
        <v>409</v>
      </c>
      <c r="AE1" t="s">
        <v>410</v>
      </c>
      <c r="AF1" t="s">
        <v>411</v>
      </c>
      <c r="AG1" t="s">
        <v>412</v>
      </c>
      <c r="AH1" t="s">
        <v>413</v>
      </c>
      <c r="AI1" t="s">
        <v>414</v>
      </c>
      <c r="AJ1" t="s">
        <v>415</v>
      </c>
      <c r="AK1" t="s">
        <v>416</v>
      </c>
      <c r="AL1" t="s">
        <v>417</v>
      </c>
      <c r="AM1" t="s">
        <v>418</v>
      </c>
      <c r="AN1" t="s">
        <v>419</v>
      </c>
      <c r="AO1" t="s">
        <v>420</v>
      </c>
      <c r="AP1" t="s">
        <v>421</v>
      </c>
      <c r="AQ1" t="s">
        <v>422</v>
      </c>
      <c r="AR1" t="s">
        <v>423</v>
      </c>
      <c r="AS1" t="s">
        <v>424</v>
      </c>
      <c r="AT1" t="s">
        <v>425</v>
      </c>
      <c r="AU1" t="s">
        <v>426</v>
      </c>
      <c r="AV1" t="s">
        <v>427</v>
      </c>
      <c r="AW1" t="s">
        <v>428</v>
      </c>
      <c r="AX1" t="s">
        <v>429</v>
      </c>
      <c r="AY1" t="s">
        <v>430</v>
      </c>
      <c r="AZ1" t="s">
        <v>431</v>
      </c>
      <c r="BA1" t="s">
        <v>432</v>
      </c>
      <c r="BB1" t="s">
        <v>433</v>
      </c>
      <c r="BC1" t="s">
        <v>434</v>
      </c>
      <c r="BD1" t="s">
        <v>435</v>
      </c>
      <c r="BE1" t="s">
        <v>436</v>
      </c>
      <c r="BF1" t="s">
        <v>437</v>
      </c>
      <c r="BG1" t="s">
        <v>438</v>
      </c>
      <c r="BH1" t="s">
        <v>439</v>
      </c>
      <c r="BI1" t="s">
        <v>440</v>
      </c>
      <c r="BJ1" t="s">
        <v>441</v>
      </c>
      <c r="BK1" t="s">
        <v>442</v>
      </c>
      <c r="BL1" t="s">
        <v>443</v>
      </c>
      <c r="BM1" t="s">
        <v>444</v>
      </c>
      <c r="BN1" t="s">
        <v>445</v>
      </c>
      <c r="BO1" t="s">
        <v>446</v>
      </c>
      <c r="BP1" t="s">
        <v>447</v>
      </c>
      <c r="BQ1" t="s">
        <v>448</v>
      </c>
      <c r="BR1" t="s">
        <v>449</v>
      </c>
      <c r="BS1" t="s">
        <v>450</v>
      </c>
      <c r="BT1" t="s">
        <v>451</v>
      </c>
    </row>
    <row r="2" spans="1:72" x14ac:dyDescent="0.25">
      <c r="A2">
        <v>1</v>
      </c>
      <c r="B2">
        <v>215604</v>
      </c>
      <c r="C2">
        <f>(B2+40119)</f>
        <v>255723</v>
      </c>
      <c r="D2">
        <v>20260406000000</v>
      </c>
      <c r="E2">
        <v>20260305000000</v>
      </c>
      <c r="F2">
        <v>4</v>
      </c>
      <c r="G2">
        <v>28</v>
      </c>
      <c r="H2">
        <v>0</v>
      </c>
      <c r="I2" t="s">
        <v>452</v>
      </c>
      <c r="J2">
        <v>2016</v>
      </c>
      <c r="M2" t="s">
        <v>453</v>
      </c>
      <c r="N2">
        <v>5</v>
      </c>
      <c r="O2">
        <v>5</v>
      </c>
      <c r="P2" t="s">
        <v>454</v>
      </c>
      <c r="Q2" t="s">
        <v>455</v>
      </c>
      <c r="R2">
        <v>0</v>
      </c>
      <c r="S2">
        <v>119999999</v>
      </c>
      <c r="T2" t="s">
        <v>456</v>
      </c>
      <c r="U2" t="s">
        <v>457</v>
      </c>
      <c r="V2">
        <v>17449</v>
      </c>
      <c r="W2">
        <v>6792000</v>
      </c>
      <c r="X2" t="s">
        <v>267</v>
      </c>
      <c r="Y2" t="s">
        <v>267</v>
      </c>
      <c r="Z2" t="s">
        <v>267</v>
      </c>
      <c r="AA2" t="s">
        <v>267</v>
      </c>
      <c r="AB2" t="s">
        <v>458</v>
      </c>
      <c r="AC2">
        <v>1730162553</v>
      </c>
      <c r="AD2" t="s">
        <v>459</v>
      </c>
      <c r="AE2" t="s">
        <v>460</v>
      </c>
      <c r="AH2" t="s">
        <v>461</v>
      </c>
      <c r="AI2" t="s">
        <v>462</v>
      </c>
      <c r="AJ2" t="s">
        <v>463</v>
      </c>
      <c r="AK2">
        <v>6511</v>
      </c>
      <c r="AL2" t="s">
        <v>464</v>
      </c>
      <c r="AM2" t="s">
        <v>465</v>
      </c>
      <c r="AN2" t="s">
        <v>466</v>
      </c>
      <c r="AP2" t="s">
        <v>467</v>
      </c>
      <c r="AQ2">
        <v>20260406000000</v>
      </c>
      <c r="AR2">
        <v>20260406000000</v>
      </c>
      <c r="AS2" t="s">
        <v>468</v>
      </c>
      <c r="AU2" t="s">
        <v>469</v>
      </c>
      <c r="AV2" t="s">
        <v>470</v>
      </c>
      <c r="BB2">
        <v>2451706</v>
      </c>
      <c r="BC2">
        <v>20260311000000</v>
      </c>
      <c r="BD2">
        <v>1</v>
      </c>
      <c r="BE2">
        <v>20260505000000</v>
      </c>
      <c r="BF2">
        <v>5</v>
      </c>
      <c r="BG2" t="s">
        <v>267</v>
      </c>
      <c r="BH2" t="s">
        <v>267</v>
      </c>
      <c r="BI2" t="s">
        <v>267</v>
      </c>
      <c r="BJ2" t="s">
        <v>267</v>
      </c>
      <c r="BK2" t="s">
        <v>471</v>
      </c>
      <c r="BL2">
        <v>1619213212</v>
      </c>
      <c r="BM2" t="s">
        <v>472</v>
      </c>
      <c r="BN2" t="s">
        <v>267</v>
      </c>
      <c r="BO2" t="s">
        <v>267</v>
      </c>
      <c r="BP2" t="s">
        <v>267</v>
      </c>
      <c r="BQ2" t="s">
        <v>267</v>
      </c>
      <c r="BR2" t="s">
        <v>267</v>
      </c>
      <c r="BS2" t="s">
        <v>267</v>
      </c>
      <c r="BT2" t="s">
        <v>267</v>
      </c>
    </row>
    <row r="3" spans="1:72" x14ac:dyDescent="0.25">
      <c r="A3">
        <v>2</v>
      </c>
      <c r="B3">
        <v>215979</v>
      </c>
      <c r="C3">
        <f>(B3+40119)</f>
        <v>256098</v>
      </c>
      <c r="D3">
        <v>20260406000000</v>
      </c>
      <c r="E3">
        <v>20260330000000</v>
      </c>
      <c r="F3">
        <v>4</v>
      </c>
      <c r="G3">
        <v>28</v>
      </c>
      <c r="H3">
        <v>0</v>
      </c>
      <c r="I3" t="s">
        <v>473</v>
      </c>
      <c r="J3">
        <v>2023</v>
      </c>
      <c r="M3" t="s">
        <v>474</v>
      </c>
      <c r="N3">
        <v>2</v>
      </c>
      <c r="O3">
        <v>2</v>
      </c>
      <c r="P3" t="s">
        <v>475</v>
      </c>
      <c r="Q3" t="s">
        <v>476</v>
      </c>
      <c r="R3">
        <v>22659</v>
      </c>
      <c r="S3">
        <v>6334225</v>
      </c>
      <c r="T3" t="s">
        <v>267</v>
      </c>
      <c r="U3" t="s">
        <v>267</v>
      </c>
      <c r="V3" t="s">
        <v>267</v>
      </c>
      <c r="W3" t="s">
        <v>267</v>
      </c>
      <c r="X3" t="s">
        <v>267</v>
      </c>
      <c r="Y3" t="s">
        <v>267</v>
      </c>
      <c r="Z3" t="s">
        <v>267</v>
      </c>
      <c r="AA3" t="s">
        <v>267</v>
      </c>
      <c r="AB3" t="s">
        <v>477</v>
      </c>
      <c r="AC3">
        <v>1407878796</v>
      </c>
      <c r="AD3" t="s">
        <v>478</v>
      </c>
      <c r="AE3" t="s">
        <v>479</v>
      </c>
      <c r="AF3" t="s">
        <v>480</v>
      </c>
      <c r="AH3" t="s">
        <v>481</v>
      </c>
      <c r="AI3" t="s">
        <v>482</v>
      </c>
      <c r="AJ3" t="s">
        <v>483</v>
      </c>
      <c r="AK3">
        <v>95817</v>
      </c>
      <c r="AL3" t="s">
        <v>484</v>
      </c>
      <c r="AM3" t="s">
        <v>485</v>
      </c>
      <c r="AN3" t="s">
        <v>486</v>
      </c>
      <c r="AP3" t="s">
        <v>467</v>
      </c>
      <c r="AQ3">
        <v>20260406000000</v>
      </c>
      <c r="AR3">
        <v>20260406000000</v>
      </c>
      <c r="AS3" t="s">
        <v>468</v>
      </c>
      <c r="AU3" t="s">
        <v>469</v>
      </c>
      <c r="AV3" t="s">
        <v>487</v>
      </c>
      <c r="BB3">
        <v>2451704</v>
      </c>
      <c r="BC3" t="s">
        <v>267</v>
      </c>
      <c r="BD3">
        <v>1</v>
      </c>
      <c r="BE3">
        <v>20260505000000</v>
      </c>
      <c r="BF3">
        <v>2</v>
      </c>
      <c r="BG3" t="s">
        <v>267</v>
      </c>
      <c r="BH3" t="s">
        <v>267</v>
      </c>
      <c r="BI3" t="s">
        <v>267</v>
      </c>
      <c r="BJ3" t="s">
        <v>267</v>
      </c>
      <c r="BK3" t="s">
        <v>471</v>
      </c>
      <c r="BL3">
        <v>1619213212</v>
      </c>
      <c r="BM3" t="s">
        <v>472</v>
      </c>
      <c r="BN3" t="s">
        <v>267</v>
      </c>
      <c r="BO3" t="s">
        <v>267</v>
      </c>
      <c r="BP3" t="s">
        <v>267</v>
      </c>
      <c r="BQ3" t="s">
        <v>267</v>
      </c>
      <c r="BR3" t="s">
        <v>267</v>
      </c>
      <c r="BS3" t="s">
        <v>267</v>
      </c>
      <c r="BT3" t="s">
        <v>267</v>
      </c>
    </row>
    <row r="11" spans="1:72" x14ac:dyDescent="0.25">
      <c r="E11">
        <v>255723</v>
      </c>
    </row>
    <row r="12" spans="1:72" x14ac:dyDescent="0.25">
      <c r="E12">
        <v>256098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C90F-B3CA-4C30-A72D-47A57FCD7F47}">
  <dimension ref="A1:AA39"/>
  <sheetViews>
    <sheetView workbookViewId="0">
      <selection activeCell="E26" sqref="E26"/>
    </sheetView>
  </sheetViews>
  <sheetFormatPr defaultRowHeight="15" x14ac:dyDescent="0.25"/>
  <cols>
    <col min="3" max="3" width="23.140625" customWidth="1"/>
    <col min="4" max="4" width="21.5703125" bestFit="1" customWidth="1"/>
    <col min="5" max="5" width="29.140625" customWidth="1"/>
  </cols>
  <sheetData>
    <row r="1" spans="1:22" x14ac:dyDescent="0.25">
      <c r="A1" t="s">
        <v>488</v>
      </c>
    </row>
    <row r="4" spans="1:22" x14ac:dyDescent="0.25">
      <c r="C4" t="s">
        <v>489</v>
      </c>
      <c r="D4" t="s">
        <v>490</v>
      </c>
      <c r="E4" t="s">
        <v>352</v>
      </c>
      <c r="F4" t="s">
        <v>301</v>
      </c>
      <c r="G4" t="s">
        <v>491</v>
      </c>
      <c r="H4" t="s">
        <v>492</v>
      </c>
      <c r="I4" t="s">
        <v>493</v>
      </c>
      <c r="J4" t="s">
        <v>494</v>
      </c>
      <c r="K4" t="s">
        <v>495</v>
      </c>
      <c r="L4" t="s">
        <v>496</v>
      </c>
      <c r="M4" t="s">
        <v>497</v>
      </c>
      <c r="N4" t="s">
        <v>498</v>
      </c>
      <c r="O4" t="s">
        <v>499</v>
      </c>
      <c r="P4" t="s">
        <v>500</v>
      </c>
      <c r="Q4" t="s">
        <v>501</v>
      </c>
      <c r="R4" t="s">
        <v>502</v>
      </c>
      <c r="S4" t="s">
        <v>503</v>
      </c>
      <c r="T4" t="s">
        <v>504</v>
      </c>
      <c r="U4" t="s">
        <v>505</v>
      </c>
      <c r="V4" t="s">
        <v>506</v>
      </c>
    </row>
    <row r="6" spans="1:22" x14ac:dyDescent="0.25">
      <c r="C6" s="3" t="s">
        <v>508</v>
      </c>
      <c r="D6" s="3" t="s">
        <v>507</v>
      </c>
    </row>
    <row r="7" spans="1:22" x14ac:dyDescent="0.25">
      <c r="C7" s="4" t="s">
        <v>489</v>
      </c>
      <c r="D7" s="4" t="s">
        <v>489</v>
      </c>
    </row>
    <row r="8" spans="1:22" x14ac:dyDescent="0.25">
      <c r="C8" s="4" t="s">
        <v>490</v>
      </c>
      <c r="D8" s="4" t="s">
        <v>490</v>
      </c>
    </row>
    <row r="9" spans="1:22" x14ac:dyDescent="0.25">
      <c r="C9" s="4" t="s">
        <v>352</v>
      </c>
      <c r="D9" s="4" t="s">
        <v>352</v>
      </c>
    </row>
    <row r="10" spans="1:22" x14ac:dyDescent="0.25">
      <c r="C10" s="4" t="s">
        <v>301</v>
      </c>
      <c r="D10" s="4" t="s">
        <v>301</v>
      </c>
    </row>
    <row r="11" spans="1:22" x14ac:dyDescent="0.25">
      <c r="C11" s="4" t="s">
        <v>491</v>
      </c>
      <c r="D11" s="4" t="s">
        <v>491</v>
      </c>
    </row>
    <row r="12" spans="1:22" x14ac:dyDescent="0.25">
      <c r="C12" s="4" t="s">
        <v>492</v>
      </c>
      <c r="D12" s="36" t="s">
        <v>493</v>
      </c>
    </row>
    <row r="13" spans="1:22" x14ac:dyDescent="0.25">
      <c r="C13" s="4" t="s">
        <v>493</v>
      </c>
      <c r="D13" s="36" t="s">
        <v>492</v>
      </c>
    </row>
    <row r="14" spans="1:22" x14ac:dyDescent="0.25">
      <c r="C14" s="4" t="s">
        <v>494</v>
      </c>
      <c r="D14" s="4" t="s">
        <v>494</v>
      </c>
    </row>
    <row r="15" spans="1:22" x14ac:dyDescent="0.25">
      <c r="C15" s="4" t="s">
        <v>495</v>
      </c>
      <c r="D15" s="36" t="s">
        <v>496</v>
      </c>
    </row>
    <row r="16" spans="1:22" x14ac:dyDescent="0.25">
      <c r="C16" s="4" t="s">
        <v>496</v>
      </c>
      <c r="D16" s="36" t="s">
        <v>495</v>
      </c>
    </row>
    <row r="17" spans="3:27" x14ac:dyDescent="0.25">
      <c r="C17" s="4" t="s">
        <v>497</v>
      </c>
      <c r="D17" s="4" t="s">
        <v>497</v>
      </c>
    </row>
    <row r="18" spans="3:27" x14ac:dyDescent="0.25">
      <c r="C18" s="4" t="s">
        <v>498</v>
      </c>
      <c r="D18" s="4" t="s">
        <v>498</v>
      </c>
      <c r="H18" t="s">
        <v>489</v>
      </c>
      <c r="I18" t="s">
        <v>490</v>
      </c>
      <c r="J18" t="s">
        <v>352</v>
      </c>
      <c r="K18" t="s">
        <v>301</v>
      </c>
      <c r="L18" t="s">
        <v>491</v>
      </c>
      <c r="M18" t="s">
        <v>493</v>
      </c>
      <c r="N18" t="s">
        <v>492</v>
      </c>
      <c r="O18" t="s">
        <v>494</v>
      </c>
      <c r="P18" t="s">
        <v>496</v>
      </c>
      <c r="Q18" t="s">
        <v>495</v>
      </c>
      <c r="R18" t="s">
        <v>497</v>
      </c>
      <c r="S18" t="s">
        <v>498</v>
      </c>
      <c r="T18" t="s">
        <v>499</v>
      </c>
      <c r="U18" t="s">
        <v>500</v>
      </c>
      <c r="V18" t="s">
        <v>501</v>
      </c>
      <c r="W18" t="s">
        <v>502</v>
      </c>
      <c r="X18" t="s">
        <v>503</v>
      </c>
      <c r="Y18" t="s">
        <v>504</v>
      </c>
      <c r="Z18" t="s">
        <v>505</v>
      </c>
      <c r="AA18" t="s">
        <v>506</v>
      </c>
    </row>
    <row r="19" spans="3:27" x14ac:dyDescent="0.25">
      <c r="C19" s="4" t="s">
        <v>499</v>
      </c>
      <c r="D19" s="4" t="s">
        <v>499</v>
      </c>
    </row>
    <row r="20" spans="3:27" x14ac:dyDescent="0.25">
      <c r="C20" s="4" t="s">
        <v>500</v>
      </c>
      <c r="D20" s="4" t="s">
        <v>500</v>
      </c>
      <c r="H20" t="s">
        <v>489</v>
      </c>
    </row>
    <row r="21" spans="3:27" x14ac:dyDescent="0.25">
      <c r="C21" s="4" t="s">
        <v>501</v>
      </c>
      <c r="D21" s="4" t="s">
        <v>501</v>
      </c>
      <c r="H21" t="s">
        <v>490</v>
      </c>
    </row>
    <row r="22" spans="3:27" x14ac:dyDescent="0.25">
      <c r="C22" s="4" t="s">
        <v>502</v>
      </c>
      <c r="D22" s="4" t="s">
        <v>502</v>
      </c>
      <c r="H22" t="s">
        <v>352</v>
      </c>
    </row>
    <row r="23" spans="3:27" x14ac:dyDescent="0.25">
      <c r="C23" s="4" t="s">
        <v>503</v>
      </c>
      <c r="D23" s="4" t="s">
        <v>503</v>
      </c>
      <c r="H23" t="s">
        <v>301</v>
      </c>
    </row>
    <row r="24" spans="3:27" x14ac:dyDescent="0.25">
      <c r="C24" s="4" t="s">
        <v>504</v>
      </c>
      <c r="D24" s="4" t="s">
        <v>504</v>
      </c>
      <c r="H24" t="s">
        <v>491</v>
      </c>
    </row>
    <row r="25" spans="3:27" x14ac:dyDescent="0.25">
      <c r="C25" s="4" t="s">
        <v>505</v>
      </c>
      <c r="D25" s="4" t="s">
        <v>505</v>
      </c>
      <c r="H25" t="s">
        <v>493</v>
      </c>
    </row>
    <row r="26" spans="3:27" x14ac:dyDescent="0.25">
      <c r="C26" s="4" t="s">
        <v>506</v>
      </c>
      <c r="D26" s="4" t="s">
        <v>506</v>
      </c>
      <c r="H26" t="s">
        <v>492</v>
      </c>
    </row>
    <row r="27" spans="3:27" x14ac:dyDescent="0.25">
      <c r="H27" t="s">
        <v>494</v>
      </c>
    </row>
    <row r="28" spans="3:27" x14ac:dyDescent="0.25">
      <c r="H28" t="s">
        <v>496</v>
      </c>
    </row>
    <row r="29" spans="3:27" x14ac:dyDescent="0.25">
      <c r="H29" t="s">
        <v>495</v>
      </c>
    </row>
    <row r="30" spans="3:27" x14ac:dyDescent="0.25">
      <c r="H30" t="s">
        <v>497</v>
      </c>
    </row>
    <row r="31" spans="3:27" x14ac:dyDescent="0.25">
      <c r="H31" t="s">
        <v>498</v>
      </c>
    </row>
    <row r="32" spans="3:27" x14ac:dyDescent="0.25">
      <c r="H32" t="s">
        <v>499</v>
      </c>
    </row>
    <row r="33" spans="8:8" x14ac:dyDescent="0.25">
      <c r="H33" t="s">
        <v>500</v>
      </c>
    </row>
    <row r="34" spans="8:8" x14ac:dyDescent="0.25">
      <c r="H34" t="s">
        <v>501</v>
      </c>
    </row>
    <row r="35" spans="8:8" x14ac:dyDescent="0.25">
      <c r="H35" t="s">
        <v>502</v>
      </c>
    </row>
    <row r="36" spans="8:8" x14ac:dyDescent="0.25">
      <c r="H36" t="s">
        <v>503</v>
      </c>
    </row>
    <row r="37" spans="8:8" x14ac:dyDescent="0.25">
      <c r="H37" t="s">
        <v>504</v>
      </c>
    </row>
    <row r="38" spans="8:8" x14ac:dyDescent="0.25">
      <c r="H38" t="s">
        <v>505</v>
      </c>
    </row>
    <row r="39" spans="8:8" x14ac:dyDescent="0.25">
      <c r="H39" t="s">
        <v>506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96C1-8C82-4E0F-87C3-027543DDAC47}">
  <dimension ref="A1:H42"/>
  <sheetViews>
    <sheetView workbookViewId="0">
      <selection activeCell="G21" sqref="G21"/>
    </sheetView>
  </sheetViews>
  <sheetFormatPr defaultRowHeight="15" x14ac:dyDescent="0.25"/>
  <cols>
    <col min="1" max="1" width="23.85546875" bestFit="1" customWidth="1"/>
    <col min="2" max="2" width="35.140625" bestFit="1" customWidth="1"/>
    <col min="3" max="3" width="25.42578125" customWidth="1"/>
    <col min="4" max="4" width="24.42578125" customWidth="1"/>
    <col min="5" max="5" width="15.42578125" bestFit="1" customWidth="1"/>
    <col min="6" max="6" width="32.42578125" customWidth="1"/>
    <col min="7" max="7" width="27.7109375" bestFit="1" customWidth="1"/>
  </cols>
  <sheetData>
    <row r="1" spans="1:3" x14ac:dyDescent="0.25">
      <c r="A1" s="3" t="s">
        <v>45</v>
      </c>
      <c r="B1" s="3" t="s">
        <v>46</v>
      </c>
      <c r="C1" s="4"/>
    </row>
    <row r="2" spans="1:3" x14ac:dyDescent="0.25">
      <c r="A2" s="5" t="s">
        <v>47</v>
      </c>
      <c r="B2" s="5" t="s">
        <v>48</v>
      </c>
      <c r="C2" s="4"/>
    </row>
    <row r="3" spans="1:3" x14ac:dyDescent="0.25">
      <c r="A3" s="5" t="s">
        <v>49</v>
      </c>
      <c r="B3" s="5" t="s">
        <v>50</v>
      </c>
      <c r="C3" s="4"/>
    </row>
    <row r="4" spans="1:3" x14ac:dyDescent="0.25">
      <c r="A4" s="5" t="s">
        <v>51</v>
      </c>
      <c r="B4" s="5" t="s">
        <v>52</v>
      </c>
      <c r="C4" s="4"/>
    </row>
    <row r="5" spans="1:3" x14ac:dyDescent="0.25">
      <c r="A5" s="5" t="s">
        <v>53</v>
      </c>
      <c r="B5" s="5" t="s">
        <v>54</v>
      </c>
      <c r="C5" s="4"/>
    </row>
    <row r="6" spans="1:3" x14ac:dyDescent="0.25">
      <c r="A6" s="5" t="s">
        <v>55</v>
      </c>
      <c r="B6" s="5" t="s">
        <v>56</v>
      </c>
      <c r="C6" s="4"/>
    </row>
    <row r="7" spans="1:3" x14ac:dyDescent="0.25">
      <c r="A7" s="6" t="s">
        <v>57</v>
      </c>
      <c r="B7" s="6" t="s">
        <v>58</v>
      </c>
      <c r="C7" s="4" t="s">
        <v>63</v>
      </c>
    </row>
    <row r="8" spans="1:3" x14ac:dyDescent="0.25">
      <c r="A8" s="5" t="s">
        <v>59</v>
      </c>
      <c r="B8" s="5" t="s">
        <v>60</v>
      </c>
      <c r="C8" s="4"/>
    </row>
    <row r="9" spans="1:3" x14ac:dyDescent="0.25">
      <c r="A9" s="6" t="s">
        <v>61</v>
      </c>
      <c r="B9" s="6" t="s">
        <v>62</v>
      </c>
      <c r="C9" s="4" t="s">
        <v>63</v>
      </c>
    </row>
    <row r="10" spans="1:3" x14ac:dyDescent="0.25">
      <c r="A10" s="6" t="s">
        <v>64</v>
      </c>
      <c r="B10" s="6" t="s">
        <v>65</v>
      </c>
      <c r="C10" s="4" t="s">
        <v>63</v>
      </c>
    </row>
    <row r="11" spans="1:3" x14ac:dyDescent="0.25">
      <c r="A11" s="6" t="s">
        <v>66</v>
      </c>
      <c r="B11" s="6" t="s">
        <v>67</v>
      </c>
      <c r="C11" s="4" t="s">
        <v>63</v>
      </c>
    </row>
    <row r="12" spans="1:3" x14ac:dyDescent="0.25">
      <c r="A12" s="6" t="s">
        <v>68</v>
      </c>
      <c r="B12" s="6" t="s">
        <v>69</v>
      </c>
      <c r="C12" s="4" t="s">
        <v>63</v>
      </c>
    </row>
    <row r="13" spans="1:3" x14ac:dyDescent="0.25">
      <c r="A13" s="7" t="s">
        <v>70</v>
      </c>
      <c r="B13" s="7" t="s">
        <v>71</v>
      </c>
      <c r="C13" s="4" t="s">
        <v>63</v>
      </c>
    </row>
    <row r="17" spans="1:8" x14ac:dyDescent="0.25">
      <c r="A17" s="2" t="s">
        <v>75</v>
      </c>
      <c r="B17" s="2" t="s">
        <v>77</v>
      </c>
    </row>
    <row r="18" spans="1:8" x14ac:dyDescent="0.25">
      <c r="A18" t="s">
        <v>76</v>
      </c>
    </row>
    <row r="19" spans="1:8" x14ac:dyDescent="0.25">
      <c r="B19" t="s">
        <v>78</v>
      </c>
      <c r="C19" s="10"/>
      <c r="D19" s="11"/>
      <c r="E19" s="12"/>
      <c r="F19" s="10"/>
      <c r="G19" s="11"/>
      <c r="H19" s="12"/>
    </row>
    <row r="20" spans="1:8" x14ac:dyDescent="0.25">
      <c r="B20" t="s">
        <v>79</v>
      </c>
      <c r="C20" s="10" t="s">
        <v>47</v>
      </c>
      <c r="D20" s="11"/>
      <c r="E20" s="12"/>
      <c r="F20" s="10" t="s">
        <v>48</v>
      </c>
      <c r="G20" s="11"/>
      <c r="H20" s="12"/>
    </row>
    <row r="21" spans="1:8" x14ac:dyDescent="0.25">
      <c r="B21" t="s">
        <v>80</v>
      </c>
      <c r="C21" s="10" t="s">
        <v>97</v>
      </c>
      <c r="D21" s="11" t="s">
        <v>98</v>
      </c>
      <c r="E21" s="12"/>
      <c r="F21" s="13" t="s">
        <v>58</v>
      </c>
      <c r="G21" s="11" t="s">
        <v>114</v>
      </c>
      <c r="H21" s="12"/>
    </row>
    <row r="22" spans="1:8" x14ac:dyDescent="0.25">
      <c r="B22" t="s">
        <v>81</v>
      </c>
      <c r="C22" s="10" t="s">
        <v>47</v>
      </c>
      <c r="D22" s="11"/>
      <c r="E22" s="12"/>
      <c r="F22" s="10" t="s">
        <v>48</v>
      </c>
      <c r="G22" s="11"/>
      <c r="H22" s="12"/>
    </row>
    <row r="23" spans="1:8" x14ac:dyDescent="0.25">
      <c r="B23" t="s">
        <v>82</v>
      </c>
      <c r="C23" s="10" t="s">
        <v>51</v>
      </c>
      <c r="D23" s="11"/>
      <c r="E23" s="12"/>
      <c r="F23" s="10" t="s">
        <v>52</v>
      </c>
      <c r="G23" s="11"/>
      <c r="H23" s="12"/>
    </row>
    <row r="24" spans="1:8" x14ac:dyDescent="0.25">
      <c r="B24" t="s">
        <v>83</v>
      </c>
      <c r="C24" s="10" t="s">
        <v>68</v>
      </c>
      <c r="D24" s="11" t="s">
        <v>99</v>
      </c>
      <c r="E24" s="12"/>
      <c r="F24" s="13" t="s">
        <v>110</v>
      </c>
      <c r="G24" s="11" t="s">
        <v>115</v>
      </c>
      <c r="H24" s="12"/>
    </row>
    <row r="25" spans="1:8" x14ac:dyDescent="0.25">
      <c r="B25" t="s">
        <v>84</v>
      </c>
      <c r="C25" s="10" t="s">
        <v>100</v>
      </c>
      <c r="D25" s="11" t="s">
        <v>101</v>
      </c>
      <c r="E25" s="12"/>
      <c r="F25" s="10" t="s">
        <v>52</v>
      </c>
      <c r="G25" s="11" t="s">
        <v>117</v>
      </c>
      <c r="H25" s="12"/>
    </row>
    <row r="26" spans="1:8" x14ac:dyDescent="0.25">
      <c r="B26" t="s">
        <v>85</v>
      </c>
      <c r="C26" s="10" t="s">
        <v>53</v>
      </c>
      <c r="D26" s="11"/>
      <c r="E26" s="12"/>
      <c r="F26" s="10" t="s">
        <v>54</v>
      </c>
      <c r="G26" s="11"/>
      <c r="H26" s="12"/>
    </row>
    <row r="27" spans="1:8" ht="75" x14ac:dyDescent="0.25">
      <c r="B27" t="s">
        <v>86</v>
      </c>
      <c r="C27" s="10" t="s">
        <v>102</v>
      </c>
      <c r="D27" s="11"/>
      <c r="E27" s="12"/>
      <c r="F27" s="14" t="s">
        <v>111</v>
      </c>
      <c r="G27" s="11"/>
      <c r="H27" s="12"/>
    </row>
    <row r="28" spans="1:8" x14ac:dyDescent="0.25">
      <c r="B28" t="s">
        <v>87</v>
      </c>
      <c r="C28" s="10" t="s">
        <v>103</v>
      </c>
      <c r="D28" s="11" t="s">
        <v>104</v>
      </c>
      <c r="E28" s="12" t="s">
        <v>64</v>
      </c>
      <c r="F28" s="10" t="s">
        <v>112</v>
      </c>
      <c r="G28" s="11" t="s">
        <v>118</v>
      </c>
      <c r="H28" s="12" t="s">
        <v>65</v>
      </c>
    </row>
    <row r="29" spans="1:8" x14ac:dyDescent="0.25">
      <c r="B29" t="s">
        <v>88</v>
      </c>
      <c r="C29" s="10" t="s">
        <v>105</v>
      </c>
      <c r="D29" s="11" t="s">
        <v>106</v>
      </c>
      <c r="E29" s="12" t="s">
        <v>64</v>
      </c>
      <c r="F29" s="10" t="s">
        <v>113</v>
      </c>
      <c r="G29" s="11" t="s">
        <v>119</v>
      </c>
      <c r="H29" s="12" t="s">
        <v>65</v>
      </c>
    </row>
    <row r="30" spans="1:8" x14ac:dyDescent="0.25">
      <c r="C30" s="10"/>
      <c r="D30" s="11"/>
      <c r="E30" s="12"/>
      <c r="F30" s="10"/>
      <c r="G30" s="11"/>
      <c r="H30" s="12"/>
    </row>
    <row r="31" spans="1:8" x14ac:dyDescent="0.25">
      <c r="A31" t="s">
        <v>78</v>
      </c>
      <c r="C31" s="10"/>
      <c r="D31" s="11"/>
      <c r="E31" s="12"/>
      <c r="F31" s="10"/>
      <c r="G31" s="11"/>
      <c r="H31" s="12"/>
    </row>
    <row r="32" spans="1:8" x14ac:dyDescent="0.25">
      <c r="B32" s="8" t="s">
        <v>47</v>
      </c>
      <c r="C32" s="10" t="s">
        <v>89</v>
      </c>
      <c r="D32" s="11" t="s">
        <v>49</v>
      </c>
      <c r="E32" s="12"/>
      <c r="F32" s="10"/>
      <c r="G32" s="11" t="s">
        <v>120</v>
      </c>
      <c r="H32" s="12"/>
    </row>
    <row r="33" spans="2:8" x14ac:dyDescent="0.25">
      <c r="B33" s="8" t="s">
        <v>90</v>
      </c>
      <c r="C33" s="10" t="s">
        <v>53</v>
      </c>
      <c r="D33" s="11" t="s">
        <v>107</v>
      </c>
      <c r="E33" s="12" t="s">
        <v>53</v>
      </c>
      <c r="F33" s="10"/>
      <c r="G33" s="11" t="s">
        <v>116</v>
      </c>
      <c r="H33" s="12" t="s">
        <v>54</v>
      </c>
    </row>
    <row r="34" spans="2:8" x14ac:dyDescent="0.25">
      <c r="B34" s="8" t="s">
        <v>91</v>
      </c>
      <c r="C34" s="10" t="s">
        <v>90</v>
      </c>
      <c r="D34" s="11"/>
      <c r="E34" s="12"/>
      <c r="F34" s="10"/>
      <c r="G34" s="11"/>
      <c r="H34" s="12"/>
    </row>
    <row r="35" spans="2:8" x14ac:dyDescent="0.25">
      <c r="B35" s="8" t="s">
        <v>92</v>
      </c>
      <c r="C35" s="10" t="s">
        <v>108</v>
      </c>
      <c r="D35" s="11"/>
      <c r="E35" s="12"/>
      <c r="F35" s="10"/>
      <c r="G35" s="11"/>
    </row>
    <row r="36" spans="2:8" x14ac:dyDescent="0.25">
      <c r="B36" s="8" t="s">
        <v>93</v>
      </c>
      <c r="C36" s="10" t="s">
        <v>109</v>
      </c>
      <c r="D36" s="11"/>
      <c r="E36" s="12"/>
      <c r="F36" s="10"/>
    </row>
    <row r="37" spans="2:8" x14ac:dyDescent="0.25">
      <c r="B37" s="9" t="s">
        <v>94</v>
      </c>
      <c r="C37" s="10" t="s">
        <v>51</v>
      </c>
      <c r="D37" s="11"/>
      <c r="E37" s="12"/>
      <c r="F37" s="10"/>
    </row>
    <row r="38" spans="2:8" x14ac:dyDescent="0.25">
      <c r="B38" s="9" t="s">
        <v>95</v>
      </c>
      <c r="C38" s="10" t="s">
        <v>96</v>
      </c>
      <c r="D38" s="11"/>
      <c r="E38" s="12"/>
      <c r="F38" s="10"/>
    </row>
    <row r="39" spans="2:8" x14ac:dyDescent="0.25">
      <c r="B39" s="9" t="s">
        <v>57</v>
      </c>
      <c r="C39" s="10" t="s">
        <v>58</v>
      </c>
      <c r="D39" s="11"/>
      <c r="E39" s="12"/>
      <c r="F39" s="10"/>
    </row>
    <row r="40" spans="2:8" x14ac:dyDescent="0.25">
      <c r="B40" s="10" t="s">
        <v>96</v>
      </c>
      <c r="C40" s="10" t="s">
        <v>51</v>
      </c>
      <c r="D40" s="11"/>
      <c r="E40" s="12"/>
      <c r="F40" s="10"/>
    </row>
    <row r="41" spans="2:8" x14ac:dyDescent="0.25">
      <c r="B41" s="10" t="s">
        <v>95</v>
      </c>
      <c r="C41" s="10" t="s">
        <v>96</v>
      </c>
      <c r="D41" s="11"/>
      <c r="E41" s="12"/>
      <c r="F41" s="10"/>
    </row>
    <row r="42" spans="2:8" x14ac:dyDescent="0.25">
      <c r="B42" s="10" t="s">
        <v>57</v>
      </c>
      <c r="C42" s="10" t="s">
        <v>58</v>
      </c>
      <c r="D42" s="11"/>
      <c r="E42" s="12"/>
      <c r="F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DB Server Details</vt:lpstr>
      <vt:lpstr>Sheet2</vt:lpstr>
      <vt:lpstr>Sheet1</vt:lpstr>
      <vt:lpstr>Site URLs</vt:lpstr>
      <vt:lpstr>Tasks</vt:lpstr>
      <vt:lpstr>Sheet4</vt:lpstr>
      <vt:lpstr>Sheet5</vt:lpstr>
      <vt:lpstr>Sheet7</vt:lpstr>
      <vt:lpstr>Sheet8</vt:lpstr>
      <vt:lpstr>Sheet9</vt:lpstr>
      <vt:lpstr>Sheet3</vt:lpstr>
      <vt:lpstr>Sheet6</vt:lpstr>
      <vt:lpstr>Increlex_Source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Tummala</dc:creator>
  <cp:lastModifiedBy>Srinivas Tummala</cp:lastModifiedBy>
  <dcterms:created xsi:type="dcterms:W3CDTF">2025-05-15T08:48:29Z</dcterms:created>
  <dcterms:modified xsi:type="dcterms:W3CDTF">2026-04-08T09:50:00Z</dcterms:modified>
</cp:coreProperties>
</file>